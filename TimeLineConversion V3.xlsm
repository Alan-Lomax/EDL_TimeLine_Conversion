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Alan\Arduino\Arduino Sketches\GitHub\EDL_TimeLine_Conversion\"/>
    </mc:Choice>
  </mc:AlternateContent>
  <xr:revisionPtr revIDLastSave="0" documentId="13_ncr:1_{B25B74FE-6FF3-45D8-9339-A30E212EA6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2" r:id="rId1"/>
    <sheet name="SIGSample" sheetId="50" r:id="rId2"/>
    <sheet name="Template" sheetId="1" state="hidden" r:id="rId3"/>
    <sheet name="EDL Processor" sheetId="20" state="hidden" r:id="rId4"/>
    <sheet name="Revision Control" sheetId="7" r:id="rId5"/>
  </sheets>
  <functionGroups builtInGroupCount="19"/>
  <definedNames>
    <definedName name="BoxTitle" localSheetId="1">SIGSample!$B$3</definedName>
    <definedName name="BoxTitle">Template!$B$3</definedName>
    <definedName name="EDLFileName">'EDL Processor'!$L$2</definedName>
    <definedName name="EndWrap" localSheetId="1">SIGSample!$J$15</definedName>
    <definedName name="EndWrap">Template!$J$15</definedName>
    <definedName name="EOL" localSheetId="1">SIGSample!$J$16</definedName>
    <definedName name="EOL">Template!$J$16</definedName>
    <definedName name="ExternalData_1" localSheetId="3" hidden="1">'EDL Processor'!$A$1:$J$13</definedName>
    <definedName name="LongDescription" localSheetId="1">SIGSample!$B$8</definedName>
    <definedName name="LongDescription">Template!$B$8</definedName>
    <definedName name="LT1Hr" localSheetId="1">SIGSample!$D$31</definedName>
    <definedName name="LT1Hr">Template!$D$31</definedName>
    <definedName name="NewSource">'EDL Processor'!$L$11</definedName>
    <definedName name="OneLineDescription" localSheetId="1">SIGSample!$B$7</definedName>
    <definedName name="OneLineDescription">Template!$B$7</definedName>
    <definedName name="TL_Line1" localSheetId="1">SIGSample!$A$10</definedName>
    <definedName name="TL_Line1">Template!$A$10</definedName>
    <definedName name="txtDateTime" localSheetId="1">SIGSample!$B$4</definedName>
    <definedName name="txtDateTime">Template!$B$4</definedName>
    <definedName name="VideoTitle" localSheetId="1">SIGSample!$B$5</definedName>
    <definedName name="VideoTitle">Template!$B$5</definedName>
    <definedName name="WRAPbox" localSheetId="1">SIGSample!$J$12</definedName>
    <definedName name="WRAPbox">Template!$J$12</definedName>
    <definedName name="WRAPcolumn" localSheetId="1">SIGSample!$J$13</definedName>
    <definedName name="WRAPcolumn">Template!$J$13</definedName>
    <definedName name="WRAPcolumnhalf" localSheetId="1">SIGSample!$J$14</definedName>
    <definedName name="WRAPcolumnhalf">Template!$J$14</definedName>
    <definedName name="YT_minutes" localSheetId="1">SIGSample!$B$6</definedName>
    <definedName name="YT_minutes">Template!$B$6</definedName>
    <definedName name="YT_Show_More" localSheetId="1">SIGSample!$J$11</definedName>
    <definedName name="YT_Show_More">Template!$J$11</definedName>
    <definedName name="YT_URL" localSheetId="1">SIGSample!$B$2</definedName>
    <definedName name="YT_URL">Template!$B$2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H11" i="1" s="1"/>
  <c r="A11" i="1"/>
  <c r="G12" i="1" s="1"/>
  <c r="A12" i="1"/>
  <c r="H13" i="1" s="1"/>
  <c r="A13" i="1"/>
  <c r="H14" i="1" s="1"/>
  <c r="A14" i="1"/>
  <c r="H15" i="1" s="1"/>
  <c r="A15" i="1"/>
  <c r="E16" i="1" s="1"/>
  <c r="A16" i="1"/>
  <c r="H17" i="1" s="1"/>
  <c r="A17" i="1"/>
  <c r="G18" i="1" s="1"/>
  <c r="A18" i="1"/>
  <c r="H19" i="1" s="1"/>
  <c r="A19" i="1"/>
  <c r="E20" i="1" s="1"/>
  <c r="A20" i="1"/>
  <c r="H21" i="1" s="1"/>
  <c r="A21" i="1"/>
  <c r="H22" i="1" s="1"/>
  <c r="A22" i="1"/>
  <c r="G23" i="1" s="1"/>
  <c r="A23" i="1"/>
  <c r="G24" i="1" s="1"/>
  <c r="A24" i="1"/>
  <c r="E25" i="1" s="1"/>
  <c r="A25" i="1"/>
  <c r="H26" i="1" s="1"/>
  <c r="A26" i="1"/>
  <c r="H27" i="1" s="1"/>
  <c r="A27" i="1"/>
  <c r="H28" i="1" s="1"/>
  <c r="A28" i="1"/>
  <c r="H29" i="1" s="1"/>
  <c r="A29" i="1"/>
  <c r="H30" i="1" s="1"/>
  <c r="C7" i="1"/>
  <c r="B1" i="7"/>
  <c r="A1" i="2" s="1"/>
  <c r="C40" i="1"/>
  <c r="C43" i="1"/>
  <c r="H20" i="1" l="1"/>
  <c r="F20" i="1"/>
  <c r="G17" i="1"/>
  <c r="G21" i="1"/>
  <c r="E17" i="1"/>
  <c r="H18" i="1"/>
  <c r="E18" i="1"/>
  <c r="F18" i="1"/>
  <c r="G16" i="1"/>
  <c r="E19" i="1"/>
  <c r="F16" i="1"/>
  <c r="F19" i="1"/>
  <c r="G19" i="1"/>
  <c r="H16" i="1"/>
  <c r="F17" i="1"/>
  <c r="G20" i="1"/>
  <c r="E13" i="1"/>
  <c r="F13" i="1"/>
  <c r="G13" i="1"/>
  <c r="E21" i="1"/>
  <c r="F21" i="1"/>
  <c r="E23" i="1"/>
  <c r="H23" i="1"/>
  <c r="F24" i="1"/>
  <c r="H24" i="1"/>
  <c r="F25" i="1"/>
  <c r="H25" i="1"/>
  <c r="G25" i="1"/>
  <c r="E22" i="1"/>
  <c r="F22" i="1"/>
  <c r="G22" i="1"/>
  <c r="E14" i="1"/>
  <c r="E15" i="1"/>
  <c r="G15" i="1"/>
  <c r="F15" i="1"/>
  <c r="F14" i="1"/>
  <c r="E28" i="1"/>
  <c r="G14" i="1"/>
  <c r="F28" i="1"/>
  <c r="G28" i="1"/>
  <c r="F23" i="1"/>
  <c r="E24" i="1"/>
  <c r="E29" i="1"/>
  <c r="F29" i="1"/>
  <c r="G29" i="1"/>
  <c r="E26" i="1"/>
  <c r="F26" i="1"/>
  <c r="G26" i="1"/>
  <c r="E30" i="1"/>
  <c r="F30" i="1"/>
  <c r="E27" i="1"/>
  <c r="G30" i="1"/>
  <c r="F27" i="1"/>
  <c r="G27" i="1"/>
  <c r="E12" i="1"/>
  <c r="F12" i="1"/>
  <c r="H12" i="1"/>
  <c r="B12" i="1"/>
  <c r="E11" i="1"/>
  <c r="F11" i="1"/>
  <c r="G11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D23" i="1" l="1"/>
  <c r="C30" i="1" s="1"/>
  <c r="D20" i="1"/>
  <c r="C27" i="1" s="1"/>
  <c r="D24" i="1"/>
  <c r="C31" i="1" s="1"/>
  <c r="D18" i="1"/>
  <c r="C25" i="1" s="1"/>
  <c r="D19" i="1"/>
  <c r="C26" i="1" s="1"/>
  <c r="D17" i="1"/>
  <c r="C24" i="1" s="1"/>
  <c r="D16" i="1"/>
  <c r="C23" i="1" s="1"/>
  <c r="D13" i="1"/>
  <c r="C20" i="1" s="1"/>
  <c r="D14" i="1"/>
  <c r="C21" i="1" s="1"/>
  <c r="D15" i="1"/>
  <c r="C22" i="1" s="1"/>
  <c r="D11" i="1"/>
  <c r="C18" i="1" s="1"/>
  <c r="D25" i="1"/>
  <c r="C32" i="1" s="1"/>
  <c r="D21" i="1"/>
  <c r="C28" i="1" s="1"/>
  <c r="D22" i="1"/>
  <c r="C29" i="1" s="1"/>
  <c r="D27" i="1"/>
  <c r="C34" i="1" s="1"/>
  <c r="D28" i="1"/>
  <c r="C35" i="1" s="1"/>
  <c r="D30" i="1"/>
  <c r="C37" i="1" s="1"/>
  <c r="D26" i="1"/>
  <c r="C33" i="1" s="1"/>
  <c r="D29" i="1"/>
  <c r="C36" i="1" s="1"/>
  <c r="D12" i="1"/>
  <c r="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A3BEDD92-A95C-46F9-B67A-535EE8C39C4E}" keepAlive="1" name="Connection23" type="5" refreshedVersion="8" saveData="1">
    <dbPr connection="Provider=Microsoft.Mashup.OleDb.1;Data Source=$Workbook$;Location=Timeline 1" command="SELECT * FROM [Timeline 1]" commandType="4"/>
  </connection>
  <connection id="18" xr16:uid="{EA6519FB-081F-47BE-A6C6-2939211E3E2B}" keepAlive="1" name="Connection24" type="5" refreshedVersion="8" saveData="1">
    <dbPr connection="Provider=Microsoft.Mashup.OleDb.1;Data Source=$Workbook$;Location=Timeline 1" command="SELECT * FROM [Timeline 1]" commandType="4"/>
  </connection>
  <connection id="19" xr16:uid="{64166C79-032E-4CBF-BC25-EEB50B4CFF17}" keepAlive="1" name="Connection25" type="5" refreshedVersion="0" background="1">
    <dbPr connection="Provider=Microsoft.Mashup.OleDb.1;Data Source=$Workbook$;Location=Timeline 1" commandType="0"/>
  </connection>
  <connection id="20" xr16:uid="{D3CDBFEF-810A-47E6-88E4-5A7886CE235E}" keepAlive="1" name="Connection26" type="5" refreshedVersion="8" background="1" saveData="1">
    <dbPr connection="Provider=Microsoft.Mashup.OleDb.1;Data Source=$Workbook$;Location=Timeline 1" command="SELECT * FROM [Timeline 1]" commandType="4"/>
  </connection>
  <connection id="21" xr16:uid="{EF4F9112-2E92-4AC9-8126-C06BFC0BF13E}" keepAlive="1" name="Connection27" type="5" refreshedVersion="0" saveData="1">
    <dbPr connection="Provider=Microsoft.Mashup.OleDb.1;Data Source=$Workbook$;Location=Timeline 1" command="SELECT * FROM [Timeline 1]" commandType="4"/>
  </connection>
  <connection id="22" xr16:uid="{2F9E7304-C7BE-4710-8A66-F6FD0CEA2F42}" keepAlive="1" name="Connection28" type="5" refreshedVersion="0" saveData="1">
    <dbPr connection="Provider=Microsoft.Mashup.OleDb.1;Data Source=$Workbook$;Location=Timeline 1" command="SELECT * FROM [Timeline 1]" commandType="4"/>
  </connection>
  <connection id="23" xr16:uid="{D784350B-E089-4FAB-AF7D-DAAE03DEC624}" keepAlive="1" name="Connection29" type="5" refreshedVersion="8" saveData="1">
    <dbPr connection="Provider=Microsoft.Mashup.OleDb.1;Data Source=$Workbook$;Location=Timeline 1" command="SELECT * FROM [Timeline 1]" commandType="4"/>
  </connection>
  <connection id="24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25" xr16:uid="{CB208F3A-386E-4D22-A6EF-FC7F426E4D85}" keepAlive="1" name="Connection30" type="5" refreshedVersion="0" saveData="1">
    <dbPr connection="Provider=Microsoft.Mashup.OleDb.1;Data Source=$Workbook$;Location=Timeline 1" command="SELECT * FROM [Timeline 1]" commandType="4"/>
  </connection>
  <connection id="26" xr16:uid="{E19F6B15-88E7-4FF8-9F61-D3DA1C4102BF}" keepAlive="1" name="Connection31" type="5" refreshedVersion="0" saveData="1">
    <dbPr connection="Provider=Microsoft.Mashup.OleDb.1;Data Source=$Workbook$;Location=Timeline 1" command="SELECT * FROM [Timeline 1]" commandType="4"/>
  </connection>
  <connection id="27" xr16:uid="{1227DED6-F827-4C8E-B564-1248F7250CCF}" keepAlive="1" name="Connection32" type="5" refreshedVersion="0" saveData="1">
    <dbPr connection="Provider=Microsoft.Mashup.OleDb.1;Data Source=$Workbook$;Location=Timeline 1" command="SELECT * FROM [Timeline 1]" commandType="4"/>
  </connection>
  <connection id="28" xr16:uid="{9FA683D6-EB43-4ACA-978D-17C9C1D9199E}" keepAlive="1" name="Connection33" type="5" refreshedVersion="8" saveData="1">
    <dbPr connection="Provider=Microsoft.Mashup.OleDb.1;Data Source=$Workbook$;Location=Timeline 1" command="SELECT * FROM [Timeline 1]" commandType="4"/>
  </connection>
  <connection id="29" xr16:uid="{91C16F62-85A3-4267-A1B2-41C5BF320B47}" keepAlive="1" name="Connection34" type="5" refreshedVersion="8" saveData="1">
    <dbPr connection="Provider=Microsoft.Mashup.OleDb.1;Data Source=$Workbook$;Location=Timeline 1" command="SELECT * FROM [Timeline 1]" commandType="4"/>
  </connection>
  <connection id="30" xr16:uid="{5B42AFDA-5C7E-4CAE-8358-1C571BA5377D}" keepAlive="1" name="Connection35" type="5" refreshedVersion="0" saveData="1">
    <dbPr connection="Provider=Microsoft.Mashup.OleDb.1;Data Source=$Workbook$;Location=Timeline 1" command="SELECT * FROM [Timeline 1]" commandType="4"/>
  </connection>
  <connection id="31" xr16:uid="{B7A32257-AAF6-440F-905C-A5A0B17FDFB2}" keepAlive="1" name="Connection36" type="5" refreshedVersion="8" saveData="1">
    <dbPr connection="Provider=Microsoft.Mashup.OleDb.1;Data Source=$Workbook$;Location=Timeline 1" command="SELECT * FROM [Timeline 1]" commandType="4"/>
  </connection>
  <connection id="32" xr16:uid="{073C6742-0D4E-4E88-8F6F-98F2E096F112}" keepAlive="1" name="Connection37" type="5" refreshedVersion="8" background="1" saveData="1">
    <dbPr connection="Provider=Microsoft.Mashup.OleDb.1;Data Source=$Workbook$;Location=Timeline 1" command="SELECT * FROM [Timeline 1]" commandType="4"/>
  </connection>
  <connection id="33" xr16:uid="{D67CF898-C618-43F5-AC65-30D46F6278C5}" keepAlive="1" name="Connection38" type="5" refreshedVersion="8" saveData="1">
    <dbPr connection="Provider=Microsoft.Mashup.OleDb.1;Data Source=$Workbook$;Location=Timeline 1" command="SELECT * FROM [Timeline 1]" commandType="4"/>
  </connection>
  <connection id="34" xr16:uid="{CC0F47EB-21D0-4FBD-98E4-5EC8EDA9156F}" keepAlive="1" name="Connection39" type="5" refreshedVersion="8" saveData="1">
    <dbPr connection="Provider=Microsoft.Mashup.OleDb.1;Data Source=$Workbook$;Location=Timeline 1" command="SELECT * FROM [Timeline 1]" commandType="4"/>
  </connection>
  <connection id="35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36" xr16:uid="{56D959F8-0643-4748-B831-64FCA139EA09}" keepAlive="1" name="Connection40" type="5" refreshedVersion="0" saveData="1">
    <dbPr connection="Provider=Microsoft.Mashup.OleDb.1;Data Source=$Workbook$;Location=Timeline 1" command="SELECT * FROM [Timeline 1]" commandType="4"/>
  </connection>
  <connection id="37" xr16:uid="{AAF54112-BA8E-4D6A-A739-E94A1C0701BF}" keepAlive="1" name="Connection41" type="5" refreshedVersion="0" saveData="1">
    <dbPr connection="Provider=Microsoft.Mashup.OleDb.1;Data Source=$Workbook$;Location=Timeline 1" command="SELECT * FROM [Timeline 1]" commandType="4"/>
  </connection>
  <connection id="38" xr16:uid="{70BD536C-2B45-4879-A944-FED6FF9A5B57}" keepAlive="1" name="Connection42" type="5" refreshedVersion="0" background="1" saveData="1">
    <dbPr connection="Provider=Microsoft.Mashup.OleDb.1;Data Source=$Workbook$;Location=Timeline 1" command="SELECT * FROM [Timeline 1]" commandType="4"/>
  </connection>
  <connection id="39" xr16:uid="{F10B34B5-DEE4-41E3-911B-C278F164666B}" keepAlive="1" name="Connection43" type="5" refreshedVersion="0" saveData="1">
    <dbPr connection="Provider=Microsoft.Mashup.OleDb.1;Data Source=$Workbook$;Location=Timeline 1" command="SELECT * FROM [Timeline 1]" commandType="4"/>
  </connection>
  <connection id="40" xr16:uid="{36A8B52E-D410-4EF2-A761-82BFCB5AABB0}" keepAlive="1" name="Connection44" type="5" refreshedVersion="0" saveData="1">
    <dbPr connection="Provider=Microsoft.Mashup.OleDb.1;Data Source=$Workbook$;Location=Timeline 1" command="SELECT * FROM [Timeline 1]" commandType="4"/>
  </connection>
  <connection id="41" xr16:uid="{BDFEF293-06E9-4EB6-9A82-63C147F495A0}" keepAlive="1" name="Connection45" type="5" refreshedVersion="8" saveData="1">
    <dbPr connection="Provider=Microsoft.Mashup.OleDb.1;Data Source=$Workbook$;Location=Timeline 1" command="SELECT * FROM [Timeline 1]" commandType="4"/>
  </connection>
  <connection id="42" xr16:uid="{D6B3A4F8-D545-4C7B-A272-775FF2E88894}" keepAlive="1" name="Connection46" type="5" refreshedVersion="8" background="1" saveData="1">
    <dbPr connection="Provider=Microsoft.Mashup.OleDb.1;Data Source=$Workbook$;Location=Timeline 1" command="SELECT * FROM [Timeline 1]" commandType="4"/>
  </connection>
  <connection id="43" xr16:uid="{9429153E-47CC-4BC0-A90A-F827E6BB486B}" keepAlive="1" name="Connection47" type="5" refreshedVersion="8" background="1" saveData="1">
    <dbPr connection="Provider=Microsoft.Mashup.OleDb.1;Data Source=$Workbook$;Location=Timeline 1" command="SELECT * FROM [Timeline 1]" commandType="4"/>
  </connection>
  <connection id="44" xr16:uid="{A6A8A59A-0944-4FFA-A512-B5D7121A8512}" keepAlive="1" name="Connection48" type="5" refreshedVersion="8" saveData="1">
    <dbPr connection="Provider=Microsoft.Mashup.OleDb.1;Data Source=$Workbook$;Location=Timeline 1" command="SELECT * FROM [Timeline 1]" commandType="4"/>
  </connection>
  <connection id="45" xr16:uid="{CF5142C3-2D97-40F1-8E97-88756A7BA25B}" keepAlive="1" name="Connection49" type="5" refreshedVersion="8" background="1" saveData="1">
    <dbPr connection="Provider=Microsoft.Mashup.OleDb.1;Data Source=$Workbook$;Location=Timeline 1" command="SELECT * FROM [Timeline 1]" commandType="4"/>
  </connection>
  <connection id="46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7" xr16:uid="{20D942FC-4CDE-41CC-BC32-6642D0FA83F7}" keepAlive="1" name="Connection50" type="5" refreshedVersion="8" background="1" saveData="1">
    <dbPr connection="Provider=Microsoft.Mashup.OleDb.1;Data Source=$Workbook$;Location=Timeline 1" command="SELECT * FROM [Timeline 1]" commandType="4"/>
  </connection>
  <connection id="48" xr16:uid="{D37E5052-AF62-464D-8F29-B541420C8A89}" keepAlive="1" name="Connection51" type="5" refreshedVersion="8" saveData="1">
    <dbPr connection="Provider=Microsoft.Mashup.OleDb.1;Data Source=$Workbook$;Location=Timeline 1" command="SELECT * FROM [Timeline 1]" commandType="4"/>
  </connection>
  <connection id="49" xr16:uid="{84318475-B526-4156-897A-8B5132F73AA3}" keepAlive="1" name="Connection52" type="5" refreshedVersion="8" saveData="1">
    <dbPr connection="Provider=Microsoft.Mashup.OleDb.1;Data Source=$Workbook$;Location=Timeline 1" command="SELECT * FROM [Timeline 1]" commandType="4"/>
  </connection>
  <connection id="50" xr16:uid="{86C25CB9-D26D-4511-9F03-48A378600D67}" keepAlive="1" name="Connection53" type="5" refreshedVersion="8" background="1" saveData="1">
    <dbPr connection="Provider=Microsoft.Mashup.OleDb.1;Data Source=$Workbook$;Location=Timeline 1" command="SELECT * FROM [Timeline 1]" commandType="4"/>
  </connection>
  <connection id="51" xr16:uid="{6EB59253-7CB5-405D-AF0C-C2710AF13BFE}" keepAlive="1" name="Connection54" type="5" refreshedVersion="8" background="1" saveData="1">
    <dbPr connection="Provider=Microsoft.Mashup.OleDb.1;Data Source=$Workbook$;Location=Timeline 1" command="SELECT * FROM [Timeline 1]" commandType="4"/>
  </connection>
  <connection id="52" xr16:uid="{6D38F3CC-F269-4130-87E5-6445835AEF38}" keepAlive="1" name="Connection55" type="5" refreshedVersion="8" background="1" saveData="1">
    <dbPr connection="Provider=Microsoft.Mashup.OleDb.1;Data Source=$Workbook$;Location=Timeline 1" command="SELECT * FROM [Timeline 1]" commandType="4"/>
  </connection>
  <connection id="53" xr16:uid="{AC596500-14A8-4CA8-81DF-98569ED4A251}" keepAlive="1" name="Connection56" type="5" refreshedVersion="8" saveData="1">
    <dbPr connection="Provider=Microsoft.Mashup.OleDb.1;Data Source=$Workbook$;Location=Timeline 1" command="SELECT * FROM [Timeline 1]" commandType="4"/>
  </connection>
  <connection id="54" xr16:uid="{489EF77B-0859-4B75-B42A-C89D6A0F5F34}" keepAlive="1" name="Connection57" type="5" refreshedVersion="8" saveData="1">
    <dbPr connection="Provider=Microsoft.Mashup.OleDb.1;Data Source=$Workbook$;Location=Timeline 1" command="SELECT * FROM [Timeline 1]" commandType="4"/>
  </connection>
  <connection id="55" xr16:uid="{1B20DCAD-4F43-4AD3-BF25-BDD1E0481830}" keepAlive="1" name="Connection58" type="5" refreshedVersion="8" saveData="1">
    <dbPr connection="Provider=Microsoft.Mashup.OleDb.1;Data Source=$Workbook$;Location=Timeline 1" command="SELECT * FROM [Timeline 1]" commandType="4"/>
  </connection>
  <connection id="56" xr16:uid="{C5A130AA-29BC-41A5-AC9F-D62578EB2223}" keepAlive="1" name="Connection59" type="5" refreshedVersion="8" saveData="1">
    <dbPr connection="Provider=Microsoft.Mashup.OleDb.1;Data Source=$Workbook$;Location=Timeline 1" command="SELECT * FROM [Timeline 1]" commandType="4"/>
  </connection>
  <connection id="57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58" xr16:uid="{B53D8BB4-6A8C-4A9E-9BE6-17FC3639F139}" keepAlive="1" name="Connection60" type="5" refreshedVersion="8" saveData="1">
    <dbPr connection="Provider=Microsoft.Mashup.OleDb.1;Data Source=$Workbook$;Location=Timeline 1" command="SELECT * FROM [Timeline 1]" commandType="4"/>
  </connection>
  <connection id="59" xr16:uid="{09F9FC5D-4B19-412C-83D9-F0FF2A31A729}" keepAlive="1" name="Connection61" type="5" refreshedVersion="8" background="1" saveData="1">
    <dbPr connection="Provider=Microsoft.Mashup.OleDb.1;Data Source=$Workbook$;Location=Timeline 1" command="SELECT * FROM [Timeline 1]" commandType="4"/>
  </connection>
  <connection id="60" xr16:uid="{85F14B29-A8D8-47EA-BE4A-C4A8ECF8D75F}" keepAlive="1" name="Connection62" type="5" refreshedVersion="8" saveData="1">
    <dbPr connection="Provider=Microsoft.Mashup.OleDb.1;Data Source=$Workbook$;Location=Timeline 1" command="SELECT * FROM [Timeline 1]" commandType="4"/>
  </connection>
  <connection id="61" xr16:uid="{557DD0B5-A684-4187-A4EB-FC91F4820F57}" keepAlive="1" name="Connection63" type="5" refreshedVersion="8" background="1" saveData="1">
    <dbPr connection="Provider=Microsoft.Mashup.OleDb.1;Data Source=$Workbook$;Location=Timeline 1" command="SELECT * FROM [Timeline 1]" commandType="4"/>
  </connection>
  <connection id="62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63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64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65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<sst xmlns="http://schemas.openxmlformats.org/spreadsheetml/2006/main" count="252" uniqueCount="181">
  <si>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</si>
  <si>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</si>
  <si>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</si>
  <si>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</si>
  <si>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</si>
  <si>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</si>
  <si>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</si>
  <si>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</si>
  <si>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</si>
  <si>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</si>
  <si>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</si>
  <si>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</si>
  <si>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</si>
  <si>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</si>
  <si>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</si>
  <si>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</si>
  <si>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</si>
  <si>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</si>
  <si>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https://youtu.be/_K-W8S6AVDE</t>
  </si>
  <si>
    <t>Timeline</t>
  </si>
  <si>
    <t>Do Not Change the Grey Boxes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</si>
  <si>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</si>
  <si>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</si>
  <si>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</si>
  <si>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</si>
  <si>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</si>
  <si>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</si>
  <si>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</si>
  <si>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</si>
  <si>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</si>
  <si>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</si>
  <si>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</si>
  <si>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</si>
  <si>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</si>
  <si>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</si>
  <si>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</si>
  <si>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</si>
  <si>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</si>
  <si>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</si>
  <si>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</si>
  <si>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</si>
  <si>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</si>
  <si>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</si>
  <si>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</si>
  <si>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</si>
  <si>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</si>
  <si>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</si>
  <si>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Long Description here. Use \\ as EOL marker to force a new line on Wiki.</t>
  </si>
  <si>
    <t>Alan Lomax presents a short video while testing audio levels.</t>
  </si>
  <si>
    <t>In this video Alan Lomax introduces utilizes his new recording studio (Which was purpose built to rival Abbey Road) .</t>
  </si>
  <si>
    <t>Test Code Generator</t>
  </si>
  <si>
    <t>Might have been a Zoom Meeting 29th February 2023</t>
  </si>
  <si>
    <t>Random Bits and Bobs</t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</si>
  <si>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</si>
  <si>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</si>
  <si>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</si>
  <si>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</si>
  <si>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</si>
  <si>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</si>
  <si>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</si>
  <si>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</si>
  <si>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</si>
  <si>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</si>
  <si>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</si>
  <si>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001</t>
  </si>
  <si>
    <t>Start</t>
  </si>
  <si>
    <t>002</t>
  </si>
  <si>
    <t>003</t>
  </si>
  <si>
    <t>004</t>
  </si>
  <si>
    <t>PowerScript Below - Do NOT modify.</t>
  </si>
  <si>
    <t xml:space="preserve">    #"Removed Top Rows" = Table.Skip(Source,3),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</si>
  <si>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</si>
  <si>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</si>
  <si>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</si>
  <si>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</si>
  <si>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</si>
  <si>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</si>
  <si>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</si>
  <si>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</si>
  <si>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</si>
  <si>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</si>
  <si>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</si>
  <si>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</si>
  <si>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</si>
  <si>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</si>
  <si>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</si>
  <si>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</si>
  <si>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</si>
  <si>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</si>
  <si>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</si>
  <si>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</si>
  <si>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</si>
  <si>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</si>
  <si>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</si>
  <si>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</si>
  <si>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</si>
  <si>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</si>
  <si>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</si>
  <si>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</si>
  <si>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</si>
  <si>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#"Inserted Subtraction" = Table.AddColumn(#"Renamed Columns3", "Subtraction", each [Start Hr] - 1, type number),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</si>
  <si>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</si>
  <si>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</si>
  <si>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</si>
  <si>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#"Inserted Subtraction1" = Table.AddColumn(#"Renamed Columns4", "Subtraction", each [End Hr] - 1, type number),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</si>
  <si>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</si>
  <si>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</si>
  <si>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</si>
  <si>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</si>
  <si>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</si>
  <si>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</si>
  <si>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</si>
  <si>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</si>
  <si>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>Lots of fussing getting code to work across multiple worksheets</t>
  </si>
  <si>
    <t>Combined main Excel with the EDL conversion PowerQuery which previously was in a separate worksheet.</t>
  </si>
  <si>
    <t>Prior</t>
  </si>
  <si>
    <t>Enter the other details in the yellow sections.</t>
  </si>
  <si>
    <t>The output text for the YouTube description box is automatically created (copy and paste to YouTube)</t>
  </si>
  <si>
    <r>
      <t xml:space="preserve">For the MERG WiKi page copy and paste </t>
    </r>
    <r>
      <rPr>
        <b/>
        <sz val="14"/>
        <color theme="1"/>
        <rFont val="Calibri"/>
        <family val="2"/>
        <scheme val="minor"/>
      </rPr>
      <t>as plain text</t>
    </r>
    <r>
      <rPr>
        <sz val="14"/>
        <color theme="1"/>
        <rFont val="Calibri"/>
        <family val="2"/>
        <scheme val="minor"/>
      </rPr>
      <t xml:space="preserve"> into the Knowledgebase.</t>
    </r>
  </si>
  <si>
    <t>Click the button on the right to copy the Template to a new sheet (You will be prompted for a new Sheet name)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</si>
  <si>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click the button to browse for the EDL file and select it..</t>
    </r>
  </si>
  <si>
    <t>Feedback from Martin Decosta and minor improvements.
Instructions: Add warning Re Macros
Template - Revise Formulae (Case for Videos less than 1 hour)</t>
  </si>
  <si>
    <r>
      <t xml:space="preserve">You </t>
    </r>
    <r>
      <rPr>
        <b/>
        <sz val="14"/>
        <color rgb="FFC00000"/>
        <rFont val="Calibri"/>
        <family val="2"/>
        <scheme val="minor"/>
      </rPr>
      <t>MUST</t>
    </r>
    <r>
      <rPr>
        <sz val="14"/>
        <color rgb="FFC00000"/>
        <rFont val="Calibri"/>
        <family val="2"/>
        <scheme val="minor"/>
      </rPr>
      <t xml:space="preserve"> Enable Macros for for this Tool to work properly.
This worksheet uses Macros to copy the template sheet and to process text strings. </t>
    </r>
    <r>
      <rPr>
        <b/>
        <sz val="14"/>
        <color rgb="FFC00000"/>
        <rFont val="Calibri"/>
        <family val="2"/>
        <scheme val="minor"/>
      </rPr>
      <t/>
    </r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</si>
  <si>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file. (This is likely possible with other Video tools but has not been tested.)</t>
    </r>
  </si>
  <si>
    <t>==&gt;&gt;</t>
  </si>
  <si>
    <t>Notes:</t>
  </si>
  <si>
    <t>Save your work. (deleting  the working sheet is optional.)</t>
  </si>
  <si>
    <t>Note at this point the working sheet is full of formuale that will update if a new EDL is processed. Click the button "Save as Text" to preserve it as is.</t>
  </si>
  <si>
    <t>D:\MERG_Video\TestCases_EDL_Files\Timeline Long 1.edl</t>
  </si>
  <si>
    <t xml:space="preserve">    Source = Table.FromColumns({Lines.FromBinary(File.Contents("D:\MERG_Video\TestCases_EDL_Files\Timeline Long 1.edl"), null, null, 1252)}),</t>
  </si>
  <si>
    <t>Topics</t>
  </si>
  <si>
    <t>What is RFID?</t>
  </si>
  <si>
    <t>RFID Vocabulary</t>
  </si>
  <si>
    <t>005</t>
  </si>
  <si>
    <t>Vocabulary Summary  in Pictures</t>
  </si>
  <si>
    <t>006</t>
  </si>
  <si>
    <t>RFID Standards</t>
  </si>
  <si>
    <t>007</t>
  </si>
  <si>
    <t>Choice of Frequency</t>
  </si>
  <si>
    <t>008</t>
  </si>
  <si>
    <t>Q&amp;A Intermission</t>
  </si>
  <si>
    <t>009</t>
  </si>
  <si>
    <t>Example: RF Field Strength Tester</t>
  </si>
  <si>
    <t>010</t>
  </si>
  <si>
    <t>Part 2 - RFID Usage Cases</t>
  </si>
  <si>
    <t>011</t>
  </si>
  <si>
    <t>Multiple Data Consumers</t>
  </si>
  <si>
    <t>012</t>
  </si>
  <si>
    <t>Summary and Wrap Up</t>
  </si>
  <si>
    <t>00:00:12 Start</t>
  </si>
  <si>
    <t>00:02:14 Topics</t>
  </si>
  <si>
    <t>=====Test Code Generator=====</t>
  </si>
  <si>
    <t>00:03:14 What is RFID?</t>
  </si>
  <si>
    <t>====Might have been a Zoom Meeting 29th February 2023====</t>
  </si>
  <si>
    <t>00:08:33 RFID Vocabulary</t>
  </si>
  <si>
    <t>===Random Bits and Bobs===</t>
  </si>
  <si>
    <t>00:20:33 Vocabulary Summary  in Pictures</t>
  </si>
  <si>
    <t>00:22:08 RFID Standards</t>
  </si>
  <si>
    <t>00:24:57 Choice of Frequency</t>
  </si>
  <si>
    <t>00:26:22 Q&amp;A Intermission</t>
  </si>
  <si>
    <t>00:38:57 Example: RF Field Strength Tester</t>
  </si>
  <si>
    <t>[[https://youtu.be/_K-W8S6AVDE?t=12|00:00:12]] Start\\</t>
  </si>
  <si>
    <t>00:48:39 Part 2 - RFID Usage Cases</t>
  </si>
  <si>
    <t>[[https://youtu.be/_K-W8S6AVDE?t=134|00:02:14]] Topics\\</t>
  </si>
  <si>
    <t>00:56:09 Multiple Data Consumers</t>
  </si>
  <si>
    <t>[[https://youtu.be/_K-W8S6AVDE?t=194|00:03:14]] What is RFID?\\</t>
  </si>
  <si>
    <t>01:05:18 Summary and Wrap Up</t>
  </si>
  <si>
    <t>[[https://youtu.be/_K-W8S6AVDE?t=513|00:08:33]] RFID Vocabulary\\</t>
  </si>
  <si>
    <t/>
  </si>
  <si>
    <t>[[https://youtu.be/_K-W8S6AVDE?t=1233|00:20:33]] Vocabulary Summary  in Pictures\\</t>
  </si>
  <si>
    <t>[[https://youtu.be/_K-W8S6AVDE?t=1328|00:22:08]] RFID Standards\\</t>
  </si>
  <si>
    <t>[[https://youtu.be/_K-W8S6AVDE?t=1497|00:24:57]] Choice of Frequency\\</t>
  </si>
  <si>
    <t>[[https://youtu.be/_K-W8S6AVDE?t=1582|00:26:22]] Q&amp;A Intermission\\</t>
  </si>
  <si>
    <t>[[https://youtu.be/_K-W8S6AVDE?t=2337|00:38:57]] Example: RF Field Strength Tester\\</t>
  </si>
  <si>
    <t>[[https://youtu.be/_K-W8S6AVDE?t=2919|00:48:39]] Part 2 - RFID Usage Cases\\</t>
  </si>
  <si>
    <t>[[https://youtu.be/_K-W8S6AVDE?t=3369|00:56:09]] Multiple Data Consumers\\</t>
  </si>
  <si>
    <t>[[https://youtu.be/_K-W8S6AVDE?t=3918|01:05:18]] Summary and Wrap Up\\</t>
  </si>
  <si>
    <t>{{:subjects:msag_youtube_icon.jpg?40 |A YouTube video}} [[https://youtu.be/_K-W8S6AVDE|Random Bits and Bobs]] (5 mins) {{youtube&gt;_K-W8S6AVDE}}\\</t>
  </si>
  <si>
    <t>SIGSample</t>
  </si>
  <si>
    <t>Supress Error messages on blank rows.
Attempted to Lock sheets to prevent inadvertent change.
This prevented code from running.  
(Decided to Hide the sheets instead)</t>
  </si>
  <si>
    <t>Improved the Instructions Page.
Template and processor sheets are hidden. In code they are unhidden, used, and rehidden.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</si>
</sst>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8"/>
      <color rgb="FF993366"/>
      <name val="BritishRailDarkNormal"/>
    </font>
    <font>
      <u/>
      <sz val="1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2"/>
      <color rgb="FFFF0000"/>
      <name val="Calibr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0" fillId="0" borderId="8" xfId="0" applyBorder="1"/>
    <xf numFmtId="0" fontId="7" fillId="0" borderId="14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1" fillId="3" borderId="0" xfId="0" applyFont="1" applyFill="1" applyAlignment="1">
      <alignment horizontal="center" vertical="center"/>
    </xf>
    <xf numFmtId="0" fontId="11" fillId="3" borderId="0" xfId="0" applyFont="1" applyFill="1"/>
    <xf numFmtId="0" fontId="0" fillId="0" borderId="15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/>
    <xf numFmtId="15" fontId="0" fillId="0" borderId="21" xfId="0" applyNumberForma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9" fillId="3" borderId="0" xfId="1" applyFill="1"/>
    <xf numFmtId="0" fontId="0" fillId="0" borderId="24" xfId="0" applyBorder="1" applyAlignment="1">
      <alignment horizontal="left" vertical="center" wrapText="1"/>
    </xf>
    <xf numFmtId="0" fontId="8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6" fillId="2" borderId="1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1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1" xfId="0" quotePrefix="1" applyFont="1" applyFill="1" applyBorder="1" applyProtection="1">
      <protection locked="0"/>
    </xf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ill="1" applyBorder="1"/>
    <xf numFmtId="0" fontId="0" fillId="7" borderId="4" xfId="0" applyFill="1" applyBorder="1" applyAlignment="1">
      <alignment horizontal="left"/>
    </xf>
    <xf numFmtId="0" fontId="0" fillId="3" borderId="5" xfId="0" applyFill="1" applyBorder="1" applyAlignment="1">
      <alignment wrapText="1"/>
    </xf>
    <xf numFmtId="0" fontId="0" fillId="7" borderId="5" xfId="0" applyFill="1" applyBorder="1" applyAlignment="1">
      <alignment horizontal="left"/>
    </xf>
    <xf numFmtId="0" fontId="0" fillId="7" borderId="5" xfId="0" applyFill="1" applyBorder="1" applyAlignment="1">
      <alignment vertical="top" wrapText="1"/>
    </xf>
    <xf numFmtId="0" fontId="0" fillId="7" borderId="2" xfId="0" applyFill="1" applyBorder="1"/>
    <xf numFmtId="0" fontId="0" fillId="3" borderId="6" xfId="0" applyFill="1" applyBorder="1"/>
    <xf numFmtId="0" fontId="0" fillId="7" borderId="2" xfId="0" applyFill="1" applyBorder="1" applyAlignment="1">
      <alignment horizontal="left"/>
    </xf>
    <xf numFmtId="0" fontId="0" fillId="7" borderId="2" xfId="0" applyFill="1" applyBorder="1" applyAlignment="1">
      <alignment horizontal="left" wrapText="1"/>
    </xf>
    <xf numFmtId="0" fontId="0" fillId="7" borderId="3" xfId="0" quotePrefix="1" applyFill="1" applyBorder="1" applyAlignment="1">
      <alignment horizontal="left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5" xfId="0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16" fillId="0" borderId="34" xfId="0" applyFont="1" applyBorder="1" applyAlignment="1">
      <alignment vertical="center" wrapText="1"/>
    </xf>
    <xf numFmtId="0" fontId="16" fillId="0" borderId="0" xfId="0" applyFont="1" applyAlignment="1">
      <alignment horizontal="left" vertical="center" wrapText="1"/>
    </xf>
    <xf numFmtId="0" fontId="16" fillId="0" borderId="21" xfId="0" applyFont="1" applyBorder="1"/>
    <xf numFmtId="0" fontId="18" fillId="2" borderId="37" xfId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0" fillId="11" borderId="31" xfId="0" applyFont="1" applyFill="1" applyBorder="1"/>
    <xf numFmtId="0" fontId="21" fillId="2" borderId="36" xfId="0" quotePrefix="1" applyFont="1" applyFill="1" applyBorder="1" applyAlignment="1">
      <alignment horizontal="right"/>
    </xf>
    <xf numFmtId="0" fontId="23" fillId="10" borderId="2" xfId="0" applyFont="1" applyFill="1" applyBorder="1" applyAlignment="1" applyProtection="1">
      <alignment vertical="center"/>
      <protection locked="0"/>
    </xf>
    <xf numFmtId="0" fontId="23" fillId="10" borderId="2" xfId="0" quotePrefix="1" applyFont="1" applyFill="1" applyBorder="1" applyProtection="1">
      <protection locked="0"/>
    </xf>
    <xf numFmtId="0" fontId="23" fillId="10" borderId="2" xfId="0" quotePrefix="1" applyFont="1" applyFill="1" applyBorder="1" applyAlignment="1" applyProtection="1">
      <alignment horizontal="left"/>
      <protection locked="0"/>
    </xf>
    <xf numFmtId="0" fontId="23" fillId="10" borderId="2" xfId="0" applyFont="1" applyFill="1" applyBorder="1" applyAlignment="1" applyProtection="1">
      <alignment vertical="center" wrapText="1"/>
      <protection locked="0"/>
    </xf>
    <xf numFmtId="0" fontId="7" fillId="3" borderId="11" xfId="0" applyFont="1" applyFill="1" applyBorder="1" applyAlignment="1">
      <alignment horizontal="left"/>
    </xf>
    <xf numFmtId="0" fontId="7" fillId="3" borderId="12" xfId="0" applyFont="1" applyFill="1" applyBorder="1" applyAlignment="1">
      <alignment horizontal="left"/>
    </xf>
    <xf numFmtId="0" fontId="7" fillId="3" borderId="10" xfId="0" applyFont="1" applyFill="1" applyBorder="1" applyAlignment="1">
      <alignment horizontal="right"/>
    </xf>
    <xf numFmtId="0" fontId="7" fillId="3" borderId="11" xfId="0" applyFont="1" applyFill="1" applyBorder="1" applyAlignment="1">
      <alignment horizontal="right"/>
    </xf>
    <xf numFmtId="0" fontId="7" fillId="3" borderId="12" xfId="0" applyFont="1" applyFill="1" applyBorder="1" applyAlignment="1">
      <alignment horizontal="right"/>
    </xf>
    <xf numFmtId="0" fontId="7" fillId="3" borderId="10" xfId="0" applyFont="1" applyFill="1" applyBorder="1" applyAlignment="1">
      <alignment horizontal="left"/>
    </xf>
    <xf numFmtId="0" fontId="7" fillId="6" borderId="29" xfId="0" applyFont="1" applyFill="1" applyBorder="1" applyAlignment="1">
      <alignment horizontal="center" vertical="center" wrapText="1"/>
    </xf>
    <xf numFmtId="0" fontId="7" fillId="6" borderId="30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wrapText="1"/>
    </xf>
    <xf numFmtId="0" fontId="13" fillId="0" borderId="29" xfId="0" applyFont="1" applyBorder="1" applyAlignment="1">
      <alignment horizontal="center" wrapText="1"/>
    </xf>
    <xf numFmtId="0" fontId="13" fillId="0" borderId="30" xfId="0" applyFont="1" applyBorder="1" applyAlignment="1">
      <alignment horizontal="center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0" borderId="0" xfId="0" applyNumberFormat="1" applyProtection="1">
      <protection locked="0"/>
    </xf>
  </cellXfs>
  <cellStyles count="2">
    <cellStyle name="Hyperlink" xfId="1" builtinId="8"/>
    <cellStyle name="Normal" xfId="0" builtinId="0"/>
  </cellStyles>
  <dxfs count="1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2</xdr:row>
          <xdr:rowOff>133350</xdr:rowOff>
        </xdr:from>
        <xdr:to>
          <xdr:col>18</xdr:col>
          <xdr:colOff>476250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993366"/>
                  </a:solidFill>
                  <a:latin typeface="BritishRailDarkNormal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603223</xdr:colOff>
      <xdr:row>13</xdr:row>
      <xdr:rowOff>38100</xdr:rowOff>
    </xdr:from>
    <xdr:to>
      <xdr:col>24</xdr:col>
      <xdr:colOff>122967</xdr:colOff>
      <xdr:row>40</xdr:row>
      <xdr:rowOff>84742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6823" y="3848100"/>
          <a:ext cx="4729919" cy="5418742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16</xdr:row>
      <xdr:rowOff>34782</xdr:rowOff>
    </xdr:from>
    <xdr:to>
      <xdr:col>15</xdr:col>
      <xdr:colOff>530210</xdr:colOff>
      <xdr:row>33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4987782"/>
          <a:ext cx="9740885" cy="330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0</xdr:row>
          <xdr:rowOff>285750</xdr:rowOff>
        </xdr:from>
        <xdr:to>
          <xdr:col>22</xdr:col>
          <xdr:colOff>542925</xdr:colOff>
          <xdr:row>1</xdr:row>
          <xdr:rowOff>209550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the Blink!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</xdr:row>
          <xdr:rowOff>104775</xdr:rowOff>
        </xdr:from>
        <xdr:to>
          <xdr:col>2</xdr:col>
          <xdr:colOff>1714500</xdr:colOff>
          <xdr:row>4</xdr:row>
          <xdr:rowOff>66675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3600450</xdr:colOff>
          <xdr:row>2</xdr:row>
          <xdr:rowOff>104775</xdr:rowOff>
        </xdr:from>
        <xdr:to>
          <xdr:col>2</xdr:col>
          <xdr:colOff>5238750</xdr:colOff>
          <xdr:row>4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Preserve Sheet Values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1" xr16:uid="{A177E7E5-1128-4A6B-A802-9C70D30421ED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E3BBAF-998F-44EC-B848-A014F8E88CD0}" name="Table_ExternalData_1" displayName="Table_ExternalData_1" ref="A1:J13" tableType="queryTable" totalsRowShown="0" headerRowDxfId="10" dataDxfId="11">
  <autoFilter ref="A1:J13" xr:uid="{0FE3BBAF-998F-44EC-B848-A014F8E88CD0}"/>
  <tableColumns count="10">
    <tableColumn id="11" xr3:uid="{62F8BCFD-6014-4AAE-872D-82C72BA2A290}" uniqueName="11" name="Number" queryTableFieldId="1" dataDxfId="9"/>
    <tableColumn id="12" xr3:uid="{7249F996-6B45-4E51-B955-C82818F81139}" uniqueName="12" name="Chapter" queryTableFieldId="2" dataDxfId="8"/>
    <tableColumn id="13" xr3:uid="{6FDAB2EA-E345-46CD-8029-AFECDE00F0C0}" uniqueName="13" name="Start Hr" queryTableFieldId="3" dataDxfId="7"/>
    <tableColumn id="14" xr3:uid="{92408607-CF72-4A98-8F00-2284B7F21A09}" uniqueName="14" name="Start Min" queryTableFieldId="4" dataDxfId="6"/>
    <tableColumn id="15" xr3:uid="{E58D932C-25ED-4338-9EB1-8131C617994A}" uniqueName="15" name="Start Sec" queryTableFieldId="5" dataDxfId="5"/>
    <tableColumn id="16" xr3:uid="{C2941406-2F94-43C7-A50A-A4DD260BF099}" uniqueName="16" name="Start mSec" queryTableFieldId="6" dataDxfId="4"/>
    <tableColumn id="17" xr3:uid="{02F150D8-0614-4C01-9809-CE67A9664522}" uniqueName="17" name="End Hr" queryTableFieldId="7" dataDxfId="3"/>
    <tableColumn id="18" xr3:uid="{F58BD9A4-BA1E-4B7D-8C1C-8F71499AA9DD}" uniqueName="18" name="End Min" queryTableFieldId="8" dataDxfId="2"/>
    <tableColumn id="19" xr3:uid="{4E80C0B6-1131-4ECB-B33D-DC7DEA94B1AA}" uniqueName="19" name="End Sec" queryTableFieldId="9" dataDxfId="1"/>
    <tableColumn id="20" xr3:uid="{17296431-CFD6-4800-8809-1B9118D81FE0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6"/>
  <sheetViews>
    <sheetView tabSelected="1" workbookViewId="0">
      <selection activeCell="B1" sqref="B1:S1"/>
    </sheetView>
  </sheetViews>
  <sheetFormatPr defaultRowHeight="15" x14ac:dyDescent="0.25"/>
  <cols>
    <col min="1" max="1" width="12.5703125" customWidth="1"/>
    <col min="16" max="16" width="13.85546875" bestFit="1" customWidth="1"/>
    <col min="19" max="19" width="14.140625" customWidth="1"/>
  </cols>
  <sheetData>
    <row r="1" spans="1:19" ht="35.25" customHeight="1" thickBot="1" x14ac:dyDescent="0.35">
      <c r="A1" s="92" t="str">
        <f>"Rev: " &amp; 'Revision Control'!B1</f>
        <v>Rev: 0.3</v>
      </c>
      <c r="B1" s="110" t="s">
        <v>122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2"/>
    </row>
    <row r="2" spans="1:19" ht="84" customHeight="1" thickBot="1" x14ac:dyDescent="0.3">
      <c r="A2" s="93"/>
      <c r="B2" s="108" t="s">
        <v>43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9"/>
    </row>
    <row r="3" spans="1:19" ht="18.75" x14ac:dyDescent="0.3">
      <c r="A3" s="93" t="s">
        <v>115</v>
      </c>
      <c r="B3" s="2" t="s">
        <v>123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6"/>
    </row>
    <row r="4" spans="1:19" ht="26.25" x14ac:dyDescent="0.4">
      <c r="A4" s="94">
        <v>1</v>
      </c>
      <c r="B4" s="2" t="s">
        <v>119</v>
      </c>
      <c r="C4" s="2"/>
      <c r="D4" s="2"/>
      <c r="E4" s="2"/>
      <c r="F4" s="2"/>
      <c r="G4" s="2"/>
      <c r="H4" s="2"/>
      <c r="I4" s="2"/>
      <c r="J4" s="2"/>
      <c r="K4" s="2"/>
      <c r="L4" s="2"/>
      <c r="P4" s="97" t="s">
        <v>124</v>
      </c>
      <c r="S4" s="6"/>
    </row>
    <row r="5" spans="1:19" ht="18.75" x14ac:dyDescent="0.3">
      <c r="A5" s="94">
        <v>2</v>
      </c>
      <c r="B5" s="2" t="s">
        <v>120</v>
      </c>
      <c r="C5" s="2"/>
      <c r="D5" s="2"/>
      <c r="E5" s="2"/>
      <c r="F5" s="2"/>
      <c r="G5" s="2"/>
      <c r="H5" s="2"/>
      <c r="I5" s="2"/>
      <c r="J5" s="2"/>
      <c r="K5" s="2"/>
      <c r="L5" s="2"/>
      <c r="S5" s="6"/>
    </row>
    <row r="6" spans="1:19" ht="18.75" x14ac:dyDescent="0.3">
      <c r="A6" s="94">
        <v>3</v>
      </c>
      <c r="B6" s="2" t="s">
        <v>116</v>
      </c>
      <c r="I6" s="2"/>
      <c r="J6" s="2"/>
      <c r="K6" s="2"/>
      <c r="L6" s="2"/>
      <c r="S6" s="6"/>
    </row>
    <row r="7" spans="1:19" ht="18.75" x14ac:dyDescent="0.3">
      <c r="A7" s="94">
        <v>4</v>
      </c>
      <c r="B7" s="2" t="s">
        <v>117</v>
      </c>
      <c r="C7" s="2"/>
      <c r="D7" s="2"/>
      <c r="E7" s="2"/>
      <c r="F7" s="2"/>
      <c r="G7" s="2"/>
      <c r="H7" s="2"/>
      <c r="I7" s="2"/>
      <c r="J7" s="2"/>
      <c r="K7" s="2"/>
      <c r="L7" s="2"/>
      <c r="S7" s="6"/>
    </row>
    <row r="8" spans="1:19" ht="18.75" x14ac:dyDescent="0.3">
      <c r="A8" s="94">
        <v>5</v>
      </c>
      <c r="B8" s="2" t="s">
        <v>118</v>
      </c>
      <c r="S8" s="6"/>
    </row>
    <row r="9" spans="1:19" ht="18.75" x14ac:dyDescent="0.3">
      <c r="A9" s="94">
        <v>6</v>
      </c>
      <c r="B9" s="2" t="s">
        <v>127</v>
      </c>
      <c r="S9" s="6"/>
    </row>
    <row r="10" spans="1:19" ht="19.5" thickBot="1" x14ac:dyDescent="0.35">
      <c r="A10" s="95">
        <v>7</v>
      </c>
      <c r="B10" s="7" t="s">
        <v>126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9"/>
    </row>
    <row r="11" spans="1:19" ht="18.75" x14ac:dyDescent="0.3">
      <c r="A11" s="2"/>
      <c r="B11" s="2"/>
    </row>
    <row r="13" spans="1:19" ht="15.75" thickBot="1" x14ac:dyDescent="0.3"/>
    <row r="14" spans="1:19" ht="24" thickBot="1" x14ac:dyDescent="0.4">
      <c r="A14" s="96" t="s">
        <v>125</v>
      </c>
      <c r="B14" s="102" t="s">
        <v>30</v>
      </c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3"/>
    </row>
    <row r="15" spans="1:19" ht="19.5" thickBot="1" x14ac:dyDescent="0.35">
      <c r="B15" s="104" t="s">
        <v>32</v>
      </c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6"/>
    </row>
    <row r="16" spans="1:19" ht="19.5" thickBot="1" x14ac:dyDescent="0.35">
      <c r="B16" s="107" t="s">
        <v>31</v>
      </c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3"/>
    </row>
  </sheetData>
  <mergeCells count="5">
    <mergeCell ref="B14:P14"/>
    <mergeCell ref="B15:P15"/>
    <mergeCell ref="B16:P16"/>
    <mergeCell ref="B2:S2"/>
    <mergeCell ref="B1:S1"/>
  </mergeCells>
  <hyperlinks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opyTemplate">
                <anchor moveWithCells="1" sizeWithCells="1">
                  <from>
                    <xdr:col>16</xdr:col>
                    <xdr:colOff>28575</xdr:colOff>
                    <xdr:row>2</xdr:row>
                    <xdr:rowOff>133350</xdr:rowOff>
                  </from>
                  <to>
                    <xdr:col>18</xdr:col>
                    <xdr:colOff>476250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pRecurringBlink">
                <anchor moveWithCells="1" sizeWithCells="1">
                  <from>
                    <xdr:col>21</xdr:col>
                    <xdr:colOff>95250</xdr:colOff>
                    <xdr:row>0</xdr:row>
                    <xdr:rowOff>285750</xdr:rowOff>
                  </from>
                  <to>
                    <xdr:col>22</xdr:col>
                    <xdr:colOff>542925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D1D4E-2E7A-49F3-BCD9-4F83507EAF3C}">
  <sheetPr codeName="Sheet4">
    <tabColor rgb="FF72F542"/>
  </sheetPr>
  <dimension ref="A1:N44"/>
  <sheetViews>
    <sheetView workbookViewId="0">
      <selection activeCell="D8" sqref="D8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8"/>
      <c r="B1" s="39" t="s">
        <v>17</v>
      </c>
      <c r="C1" s="68" t="s">
        <v>63</v>
      </c>
    </row>
    <row r="2" spans="1:14" ht="17.25" customHeight="1" thickBot="1" x14ac:dyDescent="0.3">
      <c r="A2" s="3" t="s">
        <v>5</v>
      </c>
      <c r="B2" s="98" t="s">
        <v>18</v>
      </c>
      <c r="C2" s="69" t="s">
        <v>128</v>
      </c>
    </row>
    <row r="3" spans="1:14" x14ac:dyDescent="0.25">
      <c r="A3" s="4" t="s">
        <v>23</v>
      </c>
      <c r="B3" s="99" t="s">
        <v>50</v>
      </c>
    </row>
    <row r="4" spans="1:14" x14ac:dyDescent="0.25">
      <c r="A4" s="4" t="s">
        <v>24</v>
      </c>
      <c r="B4" s="99" t="s">
        <v>51</v>
      </c>
      <c r="D4"/>
    </row>
    <row r="5" spans="1:14" x14ac:dyDescent="0.25">
      <c r="A5" s="4" t="s">
        <v>15</v>
      </c>
      <c r="B5" s="99" t="s">
        <v>52</v>
      </c>
      <c r="D5"/>
    </row>
    <row r="6" spans="1:14" ht="15.75" thickBot="1" x14ac:dyDescent="0.3">
      <c r="A6" s="5" t="s">
        <v>46</v>
      </c>
      <c r="B6" s="100">
        <v>5</v>
      </c>
      <c r="C6" s="68" t="s">
        <v>110</v>
      </c>
      <c r="D6"/>
    </row>
    <row r="7" spans="1:14" ht="15.75" thickBot="1" x14ac:dyDescent="0.3">
      <c r="A7" s="4" t="s">
        <v>25</v>
      </c>
      <c r="B7" s="99" t="s">
        <v>48</v>
      </c>
      <c r="C7" s="72" t="s">
        <v>178</v>
      </c>
    </row>
    <row r="8" spans="1:14" ht="48" customHeight="1" thickBot="1" x14ac:dyDescent="0.3">
      <c r="A8" s="4" t="s">
        <v>26</v>
      </c>
      <c r="B8" s="101" t="s">
        <v>49</v>
      </c>
    </row>
    <row r="9" spans="1:14" ht="19.5" thickBot="1" x14ac:dyDescent="0.35">
      <c r="A9" s="35" t="s">
        <v>19</v>
      </c>
      <c r="B9" s="37" t="s">
        <v>9</v>
      </c>
      <c r="C9" s="36" t="s">
        <v>8</v>
      </c>
      <c r="D9" s="113"/>
      <c r="E9" s="114"/>
      <c r="F9" s="114"/>
      <c r="G9" s="114"/>
      <c r="H9" s="114"/>
      <c r="I9" s="114"/>
      <c r="J9" s="114"/>
      <c r="K9" s="114"/>
      <c r="L9" s="114"/>
      <c r="M9" s="114"/>
      <c r="N9" s="115"/>
    </row>
    <row r="10" spans="1:14" ht="15.75" thickBot="1" x14ac:dyDescent="0.3">
      <c r="A10" s="62" t="s">
        <v>149</v>
      </c>
      <c r="B10" s="75" t="s">
        <v>48</v>
      </c>
      <c r="C10" s="76" t="s">
        <v>12</v>
      </c>
      <c r="D10" s="64"/>
      <c r="E10" s="65"/>
      <c r="F10" s="65"/>
      <c r="G10" s="65"/>
      <c r="H10" s="66"/>
    </row>
    <row r="11" spans="1:14" ht="45" x14ac:dyDescent="0.25">
      <c r="A11" s="62" t="s">
        <v>150</v>
      </c>
      <c r="B11" s="77" t="s">
        <v>11</v>
      </c>
      <c r="C11" s="78" t="s">
        <v>151</v>
      </c>
      <c r="D11" s="50"/>
      <c r="E11" s="51"/>
      <c r="F11" s="52"/>
      <c r="G11" s="52"/>
      <c r="H11" s="53"/>
      <c r="I11" s="40"/>
      <c r="J11" s="116"/>
      <c r="K11" s="117"/>
      <c r="L11" s="117"/>
      <c r="M11" s="117"/>
      <c r="N11" s="118"/>
    </row>
    <row r="12" spans="1:14" x14ac:dyDescent="0.25">
      <c r="A12" s="62" t="s">
        <v>152</v>
      </c>
      <c r="B12" s="75" t="s">
        <v>149</v>
      </c>
      <c r="C12" s="78" t="s">
        <v>153</v>
      </c>
      <c r="D12" s="43"/>
      <c r="E12" s="73"/>
      <c r="F12" s="74"/>
      <c r="G12" s="74"/>
      <c r="H12" s="49"/>
      <c r="I12" s="40"/>
      <c r="J12" s="43"/>
      <c r="K12" s="41"/>
      <c r="L12" s="41"/>
      <c r="M12" s="41"/>
      <c r="N12" s="42"/>
    </row>
    <row r="13" spans="1:14" x14ac:dyDescent="0.25">
      <c r="A13" s="62" t="s">
        <v>154</v>
      </c>
      <c r="B13" s="75" t="s">
        <v>150</v>
      </c>
      <c r="C13" s="78" t="s">
        <v>155</v>
      </c>
      <c r="D13" s="43"/>
      <c r="E13" s="73"/>
      <c r="F13" s="74"/>
      <c r="G13" s="74"/>
      <c r="H13" s="49"/>
      <c r="I13" s="40"/>
      <c r="J13" s="43"/>
      <c r="K13" s="44"/>
      <c r="L13" s="44"/>
      <c r="M13" s="44"/>
      <c r="N13" s="45"/>
    </row>
    <row r="14" spans="1:14" x14ac:dyDescent="0.25">
      <c r="A14" s="62" t="s">
        <v>156</v>
      </c>
      <c r="B14" s="75" t="s">
        <v>152</v>
      </c>
      <c r="C14" s="78" t="s">
        <v>13</v>
      </c>
      <c r="D14" s="43"/>
      <c r="E14" s="73"/>
      <c r="F14" s="74"/>
      <c r="G14" s="74"/>
      <c r="H14" s="49"/>
      <c r="I14" s="40"/>
      <c r="J14" s="43"/>
      <c r="K14" s="44"/>
      <c r="L14" s="44"/>
      <c r="M14" s="44"/>
      <c r="N14" s="45"/>
    </row>
    <row r="15" spans="1:14" x14ac:dyDescent="0.25">
      <c r="A15" s="62" t="s">
        <v>157</v>
      </c>
      <c r="B15" s="75" t="s">
        <v>154</v>
      </c>
      <c r="C15" s="78" t="s">
        <v>14</v>
      </c>
      <c r="D15" s="43"/>
      <c r="E15" s="73"/>
      <c r="F15" s="74"/>
      <c r="G15" s="74"/>
      <c r="H15" s="49"/>
      <c r="I15" s="40"/>
      <c r="J15" s="46"/>
      <c r="K15" s="44"/>
      <c r="L15" s="44"/>
      <c r="M15" s="44"/>
      <c r="N15" s="45"/>
    </row>
    <row r="16" spans="1:14" ht="30" x14ac:dyDescent="0.25">
      <c r="A16" s="62" t="s">
        <v>158</v>
      </c>
      <c r="B16" s="75" t="s">
        <v>156</v>
      </c>
      <c r="C16" s="79" t="s">
        <v>49</v>
      </c>
      <c r="D16" s="43"/>
      <c r="E16" s="73"/>
      <c r="F16" s="74"/>
      <c r="G16" s="74"/>
      <c r="H16" s="49"/>
      <c r="I16" s="40"/>
      <c r="J16" s="47"/>
      <c r="K16" s="48"/>
      <c r="L16" s="48"/>
      <c r="M16" s="48"/>
      <c r="N16" s="49"/>
    </row>
    <row r="17" spans="1:14" x14ac:dyDescent="0.25">
      <c r="A17" s="62" t="s">
        <v>159</v>
      </c>
      <c r="B17" s="75" t="s">
        <v>157</v>
      </c>
      <c r="C17" s="79" t="s">
        <v>21</v>
      </c>
      <c r="D17" s="43"/>
      <c r="E17" s="73"/>
      <c r="F17" s="74"/>
      <c r="G17" s="74"/>
      <c r="H17" s="49"/>
      <c r="I17" s="40"/>
      <c r="J17" s="47"/>
      <c r="K17" s="48"/>
      <c r="L17" s="48"/>
      <c r="M17" s="48"/>
      <c r="N17" s="49"/>
    </row>
    <row r="18" spans="1:14" x14ac:dyDescent="0.25">
      <c r="A18" s="62" t="s">
        <v>160</v>
      </c>
      <c r="B18" s="75" t="s">
        <v>158</v>
      </c>
      <c r="C18" s="80" t="s">
        <v>161</v>
      </c>
      <c r="D18" s="43"/>
      <c r="E18" s="73"/>
      <c r="F18" s="74"/>
      <c r="G18" s="74"/>
      <c r="H18" s="49"/>
    </row>
    <row r="19" spans="1:14" x14ac:dyDescent="0.25">
      <c r="A19" s="62" t="s">
        <v>162</v>
      </c>
      <c r="B19" s="75" t="s">
        <v>159</v>
      </c>
      <c r="C19" s="80" t="s">
        <v>163</v>
      </c>
      <c r="D19" s="43"/>
      <c r="E19" s="73"/>
      <c r="F19" s="74"/>
      <c r="G19" s="74"/>
      <c r="H19" s="49"/>
    </row>
    <row r="20" spans="1:14" x14ac:dyDescent="0.25">
      <c r="A20" s="62" t="s">
        <v>164</v>
      </c>
      <c r="B20" s="75" t="s">
        <v>160</v>
      </c>
      <c r="C20" s="80" t="s">
        <v>165</v>
      </c>
      <c r="D20" s="43"/>
      <c r="E20" s="73"/>
      <c r="F20" s="74"/>
      <c r="G20" s="74"/>
      <c r="H20" s="49"/>
    </row>
    <row r="21" spans="1:14" x14ac:dyDescent="0.25">
      <c r="A21" s="62" t="s">
        <v>166</v>
      </c>
      <c r="B21" s="75" t="s">
        <v>162</v>
      </c>
      <c r="C21" s="80" t="s">
        <v>167</v>
      </c>
      <c r="D21" s="43"/>
      <c r="E21" s="73"/>
      <c r="F21" s="74"/>
      <c r="G21" s="74"/>
      <c r="H21" s="49"/>
    </row>
    <row r="22" spans="1:14" x14ac:dyDescent="0.25">
      <c r="A22" s="62" t="s">
        <v>168</v>
      </c>
      <c r="B22" s="75" t="s">
        <v>164</v>
      </c>
      <c r="C22" s="80" t="s">
        <v>169</v>
      </c>
      <c r="D22" s="43"/>
      <c r="E22" s="73"/>
      <c r="F22" s="74"/>
      <c r="G22" s="74"/>
      <c r="H22" s="49"/>
    </row>
    <row r="23" spans="1:14" x14ac:dyDescent="0.25">
      <c r="A23" s="62" t="s">
        <v>168</v>
      </c>
      <c r="B23" s="75" t="s">
        <v>166</v>
      </c>
      <c r="C23" s="80" t="s">
        <v>170</v>
      </c>
      <c r="D23" s="43"/>
      <c r="E23" s="73"/>
      <c r="F23" s="74"/>
      <c r="G23" s="74"/>
      <c r="H23" s="49"/>
    </row>
    <row r="24" spans="1:14" x14ac:dyDescent="0.25">
      <c r="A24" s="62" t="s">
        <v>168</v>
      </c>
      <c r="B24" s="75" t="s">
        <v>168</v>
      </c>
      <c r="C24" s="80" t="s">
        <v>171</v>
      </c>
      <c r="D24" s="43"/>
      <c r="E24" s="73"/>
      <c r="F24" s="74"/>
      <c r="G24" s="74"/>
      <c r="H24" s="49"/>
    </row>
    <row r="25" spans="1:14" x14ac:dyDescent="0.25">
      <c r="A25" s="62" t="s">
        <v>168</v>
      </c>
      <c r="B25" s="75" t="s">
        <v>168</v>
      </c>
      <c r="C25" s="80" t="s">
        <v>172</v>
      </c>
      <c r="D25" s="43"/>
      <c r="E25" s="73"/>
      <c r="F25" s="74"/>
      <c r="G25" s="74"/>
      <c r="H25" s="49"/>
    </row>
    <row r="26" spans="1:14" x14ac:dyDescent="0.25">
      <c r="A26" s="62" t="s">
        <v>168</v>
      </c>
      <c r="B26" s="75" t="s">
        <v>168</v>
      </c>
      <c r="C26" s="80" t="s">
        <v>173</v>
      </c>
      <c r="D26" s="43"/>
      <c r="E26" s="73"/>
      <c r="F26" s="74"/>
      <c r="G26" s="74"/>
      <c r="H26" s="49"/>
    </row>
    <row r="27" spans="1:14" x14ac:dyDescent="0.25">
      <c r="A27" s="62" t="s">
        <v>168</v>
      </c>
      <c r="B27" s="75" t="s">
        <v>168</v>
      </c>
      <c r="C27" s="80" t="s">
        <v>174</v>
      </c>
      <c r="D27" s="43"/>
      <c r="E27" s="73"/>
      <c r="F27" s="74"/>
      <c r="G27" s="74"/>
      <c r="H27" s="49"/>
    </row>
    <row r="28" spans="1:14" x14ac:dyDescent="0.25">
      <c r="A28" s="62" t="s">
        <v>168</v>
      </c>
      <c r="B28" s="75" t="s">
        <v>168</v>
      </c>
      <c r="C28" s="80" t="s">
        <v>175</v>
      </c>
      <c r="D28" s="43"/>
      <c r="E28" s="73"/>
      <c r="F28" s="74"/>
      <c r="G28" s="74"/>
      <c r="H28" s="49"/>
    </row>
    <row r="29" spans="1:14" ht="15.75" thickBot="1" x14ac:dyDescent="0.3">
      <c r="A29" s="63" t="s">
        <v>168</v>
      </c>
      <c r="B29" s="75" t="s">
        <v>168</v>
      </c>
      <c r="C29" s="80" t="s">
        <v>176</v>
      </c>
      <c r="D29" s="43"/>
      <c r="E29" s="73"/>
      <c r="F29" s="74"/>
      <c r="G29" s="74"/>
      <c r="H29" s="49"/>
    </row>
    <row r="30" spans="1:14" ht="15.75" thickBot="1" x14ac:dyDescent="0.3">
      <c r="B30" s="75" t="s">
        <v>168</v>
      </c>
      <c r="C30" s="80" t="s">
        <v>168</v>
      </c>
      <c r="D30" s="54"/>
      <c r="E30" s="55"/>
      <c r="F30" s="56"/>
      <c r="G30" s="56"/>
      <c r="H30" s="57"/>
    </row>
    <row r="31" spans="1:14" x14ac:dyDescent="0.25">
      <c r="B31" s="75" t="s">
        <v>168</v>
      </c>
      <c r="C31" s="80" t="s">
        <v>168</v>
      </c>
      <c r="D31"/>
    </row>
    <row r="32" spans="1:14" x14ac:dyDescent="0.25">
      <c r="B32" s="75" t="s">
        <v>49</v>
      </c>
      <c r="C32" s="80" t="s">
        <v>168</v>
      </c>
    </row>
    <row r="33" spans="2:3" ht="15.75" thickBot="1" x14ac:dyDescent="0.3">
      <c r="B33" s="81"/>
      <c r="C33" s="80" t="s">
        <v>168</v>
      </c>
    </row>
    <row r="34" spans="2:3" x14ac:dyDescent="0.25">
      <c r="C34" s="80" t="s">
        <v>168</v>
      </c>
    </row>
    <row r="35" spans="2:3" x14ac:dyDescent="0.25">
      <c r="C35" s="80" t="s">
        <v>168</v>
      </c>
    </row>
    <row r="36" spans="2:3" x14ac:dyDescent="0.25">
      <c r="C36" s="80" t="s">
        <v>168</v>
      </c>
    </row>
    <row r="37" spans="2:3" x14ac:dyDescent="0.25">
      <c r="C37" s="80" t="s">
        <v>168</v>
      </c>
    </row>
    <row r="38" spans="2:3" x14ac:dyDescent="0.25">
      <c r="C38" s="82" t="s">
        <v>16</v>
      </c>
    </row>
    <row r="39" spans="2:3" x14ac:dyDescent="0.25">
      <c r="C39" s="82" t="s">
        <v>14</v>
      </c>
    </row>
    <row r="40" spans="2:3" ht="30" x14ac:dyDescent="0.25">
      <c r="C40" s="83" t="s">
        <v>177</v>
      </c>
    </row>
    <row r="41" spans="2:3" x14ac:dyDescent="0.25">
      <c r="C41" s="82" t="s">
        <v>16</v>
      </c>
    </row>
    <row r="42" spans="2:3" x14ac:dyDescent="0.25">
      <c r="C42" s="82" t="s">
        <v>16</v>
      </c>
    </row>
    <row r="43" spans="2:3" x14ac:dyDescent="0.25">
      <c r="C43" s="82" t="s">
        <v>16</v>
      </c>
    </row>
    <row r="44" spans="2:3" ht="15.75" thickBot="1" x14ac:dyDescent="0.3">
      <c r="C44" s="84" t="s">
        <v>22</v>
      </c>
    </row>
  </sheetData>
  <mergeCells count="2">
    <mergeCell ref="D9:N9"/>
    <mergeCell ref="J11:N1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8"/>
      <c r="B1" s="39" t="s">
        <v>17</v>
      </c>
      <c r="C1" s="68" t="s">
        <v>63</v>
      </c>
    </row>
    <row r="2" spans="1:14" ht="17.25" customHeight="1" thickBot="1" x14ac:dyDescent="0.3">
      <c r="A2" s="3" t="s">
        <v>5</v>
      </c>
      <c r="B2" s="58" t="s">
        <v>33</v>
      </c>
      <c r="C2" s="69" t="s">
        <v>112</v>
      </c>
    </row>
    <row r="3" spans="1:14" x14ac:dyDescent="0.25">
      <c r="A3" s="4" t="s">
        <v>23</v>
      </c>
      <c r="B3" s="59" t="s">
        <v>29</v>
      </c>
    </row>
    <row r="4" spans="1:14" x14ac:dyDescent="0.25">
      <c r="A4" s="4" t="s">
        <v>24</v>
      </c>
      <c r="B4" s="59" t="s">
        <v>28</v>
      </c>
      <c r="D4"/>
    </row>
    <row r="5" spans="1:14" x14ac:dyDescent="0.25">
      <c r="A5" s="4" t="s">
        <v>15</v>
      </c>
      <c r="B5" s="59" t="s">
        <v>27</v>
      </c>
      <c r="D5"/>
    </row>
    <row r="6" spans="1:14" ht="15.75" thickBot="1" x14ac:dyDescent="0.3">
      <c r="A6" s="5" t="s">
        <v>46</v>
      </c>
      <c r="B6" s="60">
        <v>99</v>
      </c>
      <c r="C6" s="68" t="s">
        <v>110</v>
      </c>
      <c r="D6"/>
    </row>
    <row r="7" spans="1:14" ht="15.75" thickBot="1" x14ac:dyDescent="0.3">
      <c r="A7" s="4" t="s">
        <v>25</v>
      </c>
      <c r="B7" s="59" t="s">
        <v>6</v>
      </c>
      <c r="C7" s="72" t="str">
        <f ca="1">RIGHT(CELL("filename"),LEN(CELL("filename"))-FIND("]",CELL("filename")))</f>
        <v>Revision Control</v>
      </c>
    </row>
    <row r="8" spans="1:14" ht="48" customHeight="1" thickBot="1" x14ac:dyDescent="0.3">
      <c r="A8" s="4" t="s">
        <v>26</v>
      </c>
      <c r="B8" s="61" t="s">
        <v>47</v>
      </c>
    </row>
    <row r="9" spans="1:14" ht="19.5" thickBot="1" x14ac:dyDescent="0.35">
      <c r="A9" s="35" t="s">
        <v>19</v>
      </c>
      <c r="B9" s="37" t="s">
        <v>9</v>
      </c>
      <c r="C9" s="36" t="s">
        <v>8</v>
      </c>
      <c r="D9" s="113" t="s">
        <v>20</v>
      </c>
      <c r="E9" s="114"/>
      <c r="F9" s="114"/>
      <c r="G9" s="114"/>
      <c r="H9" s="114"/>
      <c r="I9" s="114"/>
      <c r="J9" s="114"/>
      <c r="K9" s="114"/>
      <c r="L9" s="114"/>
      <c r="M9" s="114"/>
      <c r="N9" s="115"/>
    </row>
    <row r="10" spans="1:14" ht="15.75" thickBot="1" x14ac:dyDescent="0.3">
      <c r="A10" s="62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00:00:12 Start</v>
      </c>
      <c r="B10" s="75" t="str">
        <f>OneLineDescription</f>
        <v>One Line Description</v>
      </c>
      <c r="C10" s="76" t="str">
        <f>WRAPbox</f>
        <v>&lt;WRAP box&gt;</v>
      </c>
      <c r="D10" s="64" t="s">
        <v>4</v>
      </c>
      <c r="E10" s="65" t="s">
        <v>0</v>
      </c>
      <c r="F10" s="65" t="s">
        <v>1</v>
      </c>
      <c r="G10" s="65" t="s">
        <v>2</v>
      </c>
      <c r="H10" s="66" t="s">
        <v>3</v>
      </c>
    </row>
    <row r="11" spans="1:14" ht="45" x14ac:dyDescent="0.25">
      <c r="A11" s="62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77" t="str">
        <f xml:space="preserve"> YT_Show_More</f>
        <v>Press 'Show More' to review the timeline and jump to a specific chapter.
Timeline:</v>
      </c>
      <c r="C11" s="78" t="str">
        <f xml:space="preserve"> "=====" &amp; BoxTitle &amp; "====="</f>
        <v>====={Box Title Goes Here}=====</v>
      </c>
      <c r="D11" s="50">
        <f t="shared" ref="D11:D30" si="0">(3600*E11)+(60*F11)+G11</f>
        <v>12</v>
      </c>
      <c r="E11" s="51" t="str">
        <f t="shared" ref="E11:E30" si="1">MID($A10,1,2)</f>
        <v>00</v>
      </c>
      <c r="F11" s="52" t="str">
        <f>MID($A10,4,2)</f>
        <v>00</v>
      </c>
      <c r="G11" s="52" t="str">
        <f>MID($A10,7,2)</f>
        <v>12</v>
      </c>
      <c r="H11" s="53" t="str">
        <f>MID($A10,10,99)</f>
        <v>Start</v>
      </c>
      <c r="I11" s="40" t="s">
        <v>7</v>
      </c>
      <c r="J11" s="116" t="s">
        <v>11</v>
      </c>
      <c r="K11" s="117"/>
      <c r="L11" s="117"/>
      <c r="M11" s="117"/>
      <c r="N11" s="118"/>
    </row>
    <row r="12" spans="1:14" x14ac:dyDescent="0.25">
      <c r="A12" s="62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75" t="str">
        <f>IF(A10="Paste timeline here ONLY","",IF(ISBLANK(A10),"",A10))</f>
        <v>00:00:12 Start</v>
      </c>
      <c r="C12" s="78" t="str">
        <f xml:space="preserve"> "====" &amp; txtDateTime &amp; "===="</f>
        <v>===={Date of Zoom Call or When Published}====</v>
      </c>
      <c r="D12" s="43">
        <f t="shared" si="0"/>
        <v>134</v>
      </c>
      <c r="E12" s="73" t="str">
        <f t="shared" si="1"/>
        <v>00</v>
      </c>
      <c r="F12" s="74" t="str">
        <f>MID($A11,4,2)</f>
        <v>02</v>
      </c>
      <c r="G12" s="74" t="str">
        <f>MID($A11,7,2)</f>
        <v>14</v>
      </c>
      <c r="H12" s="49" t="str">
        <f>MID($A11,10,99)</f>
        <v>Topics</v>
      </c>
      <c r="I12" s="40" t="s">
        <v>10</v>
      </c>
      <c r="J12" s="43" t="s">
        <v>12</v>
      </c>
      <c r="K12" s="41"/>
      <c r="L12" s="41"/>
      <c r="M12" s="41"/>
      <c r="N12" s="42"/>
    </row>
    <row r="13" spans="1:14" x14ac:dyDescent="0.25">
      <c r="A13" s="62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75" t="str">
        <f>IF(ISBLANK(A11),"",A11)</f>
        <v>00:02:14 Topics</v>
      </c>
      <c r="C13" s="78" t="str">
        <f xml:space="preserve"> "===" &amp; VideoTitle &amp; "==="</f>
        <v>==={Video Title}===</v>
      </c>
      <c r="D13" s="43">
        <f t="shared" si="0"/>
        <v>194</v>
      </c>
      <c r="E13" s="73" t="str">
        <f t="shared" si="1"/>
        <v>00</v>
      </c>
      <c r="F13" s="74" t="str">
        <f t="shared" ref="F13:F30" si="2">MID($A12,4,2)</f>
        <v>03</v>
      </c>
      <c r="G13" s="74" t="str">
        <f t="shared" ref="G13:G30" si="3">MID($A12,7,2)</f>
        <v>14</v>
      </c>
      <c r="H13" s="49" t="str">
        <f t="shared" ref="H13:H30" si="4">MID($A12,10,99)</f>
        <v>What is RFID?</v>
      </c>
      <c r="I13" s="40" t="s">
        <v>10</v>
      </c>
      <c r="J13" s="43" t="s">
        <v>13</v>
      </c>
      <c r="K13" s="44"/>
      <c r="L13" s="44"/>
      <c r="M13" s="44"/>
      <c r="N13" s="45"/>
    </row>
    <row r="14" spans="1:14" x14ac:dyDescent="0.25">
      <c r="A14" s="62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75" t="str">
        <f t="shared" ref="B14:B31" si="5">IF(ISBLANK(A12),"",A12)</f>
        <v>00:03:14 What is RFID?</v>
      </c>
      <c r="C14" s="78" t="str">
        <f>WRAPcolumn</f>
        <v>&lt;WRAP column&gt;</v>
      </c>
      <c r="D14" s="43">
        <f t="shared" si="0"/>
        <v>513</v>
      </c>
      <c r="E14" s="73" t="str">
        <f t="shared" si="1"/>
        <v>00</v>
      </c>
      <c r="F14" s="74" t="str">
        <f t="shared" si="2"/>
        <v>08</v>
      </c>
      <c r="G14" s="74" t="str">
        <f t="shared" si="3"/>
        <v>33</v>
      </c>
      <c r="H14" s="49" t="str">
        <f t="shared" si="4"/>
        <v>RFID Vocabulary</v>
      </c>
      <c r="I14" s="40" t="s">
        <v>10</v>
      </c>
      <c r="J14" s="43" t="s">
        <v>14</v>
      </c>
      <c r="K14" s="44"/>
      <c r="L14" s="44"/>
      <c r="M14" s="44"/>
      <c r="N14" s="45"/>
    </row>
    <row r="15" spans="1:14" x14ac:dyDescent="0.25">
      <c r="A15" s="62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75" t="str">
        <f t="shared" si="5"/>
        <v>00:08:33 RFID Vocabulary</v>
      </c>
      <c r="C15" s="78" t="str">
        <f>WRAPcolumnhalf</f>
        <v>&lt;WRAP column half&gt;</v>
      </c>
      <c r="D15" s="43">
        <f t="shared" si="0"/>
        <v>1233</v>
      </c>
      <c r="E15" s="73" t="str">
        <f t="shared" si="1"/>
        <v>00</v>
      </c>
      <c r="F15" s="74" t="str">
        <f t="shared" si="2"/>
        <v>20</v>
      </c>
      <c r="G15" s="74" t="str">
        <f t="shared" si="3"/>
        <v>33</v>
      </c>
      <c r="H15" s="49" t="str">
        <f t="shared" si="4"/>
        <v>Vocabulary Summary  in Pictures</v>
      </c>
      <c r="I15" s="40" t="s">
        <v>10</v>
      </c>
      <c r="J15" s="46" t="s">
        <v>16</v>
      </c>
      <c r="K15" s="44"/>
      <c r="L15" s="44"/>
      <c r="M15" s="44"/>
      <c r="N15" s="45"/>
    </row>
    <row r="16" spans="1:14" x14ac:dyDescent="0.25">
      <c r="A16" s="62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75" t="str">
        <f t="shared" si="5"/>
        <v>00:20:33 Vocabulary Summary  in Pictures</v>
      </c>
      <c r="C16" s="79" t="str">
        <f>LongDescription</f>
        <v>Long Description here. Use \\ as EOL marker to force a new line on Wiki.</v>
      </c>
      <c r="D16" s="43">
        <f t="shared" si="0"/>
        <v>1328</v>
      </c>
      <c r="E16" s="73" t="str">
        <f t="shared" si="1"/>
        <v>00</v>
      </c>
      <c r="F16" s="74" t="str">
        <f t="shared" si="2"/>
        <v>22</v>
      </c>
      <c r="G16" s="74" t="str">
        <f t="shared" si="3"/>
        <v>08</v>
      </c>
      <c r="H16" s="49" t="str">
        <f t="shared" si="4"/>
        <v>RFID Standards</v>
      </c>
      <c r="I16" s="40" t="s">
        <v>10</v>
      </c>
      <c r="J16" s="47" t="s">
        <v>21</v>
      </c>
      <c r="K16" s="48"/>
      <c r="L16" s="48"/>
      <c r="M16" s="48"/>
      <c r="N16" s="49"/>
    </row>
    <row r="17" spans="1:14" x14ac:dyDescent="0.25">
      <c r="A17" s="62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75" t="str">
        <f t="shared" si="5"/>
        <v>00:22:08 RFID Standards</v>
      </c>
      <c r="C17" s="79" t="str">
        <f>EOL</f>
        <v>\\</v>
      </c>
      <c r="D17" s="43">
        <f t="shared" si="0"/>
        <v>1497</v>
      </c>
      <c r="E17" s="73" t="str">
        <f t="shared" si="1"/>
        <v>00</v>
      </c>
      <c r="F17" s="74" t="str">
        <f t="shared" si="2"/>
        <v>24</v>
      </c>
      <c r="G17" s="74" t="str">
        <f t="shared" si="3"/>
        <v>57</v>
      </c>
      <c r="H17" s="49" t="str">
        <f t="shared" si="4"/>
        <v>Choice of Frequency</v>
      </c>
      <c r="I17" s="40"/>
      <c r="J17" s="47"/>
      <c r="K17" s="48"/>
      <c r="L17" s="48"/>
      <c r="M17" s="48"/>
      <c r="N17" s="49"/>
    </row>
    <row r="18" spans="1:14" x14ac:dyDescent="0.25">
      <c r="A18" s="62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75" t="str">
        <f t="shared" si="5"/>
        <v>00:24:57 Choice of Frequency</v>
      </c>
      <c r="C18" s="80" t="str">
        <f t="shared" ref="C18:C37" si="6">IFERROR(IF(ISBLANK($A10),"","[["&amp;YT_URL&amp;"?t="&amp;$D11&amp;"|"&amp; IF(LT1Hr = FALSE,MID($A10,1,8), MID($A10,1,5))&amp;"]] " &amp;$H11&amp;"\\"),"")</f>
        <v>[[YouTube_URL Goes Here?t=12|00:00:12]] Start\\</v>
      </c>
      <c r="D18" s="43">
        <f t="shared" si="0"/>
        <v>1582</v>
      </c>
      <c r="E18" s="73" t="str">
        <f t="shared" si="1"/>
        <v>00</v>
      </c>
      <c r="F18" s="74" t="str">
        <f t="shared" si="2"/>
        <v>26</v>
      </c>
      <c r="G18" s="74" t="str">
        <f t="shared" si="3"/>
        <v>22</v>
      </c>
      <c r="H18" s="49" t="str">
        <f t="shared" si="4"/>
        <v>Q&amp;A Intermission</v>
      </c>
    </row>
    <row r="19" spans="1:14" x14ac:dyDescent="0.25">
      <c r="A19" s="62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75" t="str">
        <f t="shared" si="5"/>
        <v>00:26:22 Q&amp;A Intermission</v>
      </c>
      <c r="C19" s="80" t="str">
        <f t="shared" si="6"/>
        <v>[[YouTube_URL Goes Here?t=134|00:02:14]] Topics\\</v>
      </c>
      <c r="D19" s="43">
        <f t="shared" si="0"/>
        <v>2337</v>
      </c>
      <c r="E19" s="73" t="str">
        <f t="shared" si="1"/>
        <v>00</v>
      </c>
      <c r="F19" s="74" t="str">
        <f t="shared" si="2"/>
        <v>38</v>
      </c>
      <c r="G19" s="74" t="str">
        <f t="shared" si="3"/>
        <v>57</v>
      </c>
      <c r="H19" s="49" t="str">
        <f t="shared" si="4"/>
        <v>Example: RF Field Strength Tester</v>
      </c>
    </row>
    <row r="20" spans="1:14" x14ac:dyDescent="0.25">
      <c r="A20" s="62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75" t="str">
        <f t="shared" si="5"/>
        <v>00:38:57 Example: RF Field Strength Tester</v>
      </c>
      <c r="C20" s="80" t="str">
        <f t="shared" si="6"/>
        <v>[[YouTube_URL Goes Here?t=194|00:03:14]] What is RFID?\\</v>
      </c>
      <c r="D20" s="43">
        <f t="shared" si="0"/>
        <v>2919</v>
      </c>
      <c r="E20" s="73" t="str">
        <f t="shared" si="1"/>
        <v>00</v>
      </c>
      <c r="F20" s="74" t="str">
        <f t="shared" si="2"/>
        <v>48</v>
      </c>
      <c r="G20" s="74" t="str">
        <f t="shared" si="3"/>
        <v>39</v>
      </c>
      <c r="H20" s="49" t="str">
        <f t="shared" si="4"/>
        <v>Part 2 - RFID Usage Cases</v>
      </c>
    </row>
    <row r="21" spans="1:14" x14ac:dyDescent="0.25">
      <c r="A21" s="62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75" t="str">
        <f t="shared" si="5"/>
        <v>00:48:39 Part 2 - RFID Usage Cases</v>
      </c>
      <c r="C21" s="80" t="str">
        <f t="shared" si="6"/>
        <v>[[YouTube_URL Goes Here?t=513|00:08:33]] RFID Vocabulary\\</v>
      </c>
      <c r="D21" s="43">
        <f t="shared" si="0"/>
        <v>3369</v>
      </c>
      <c r="E21" s="73" t="str">
        <f t="shared" si="1"/>
        <v>00</v>
      </c>
      <c r="F21" s="74" t="str">
        <f t="shared" si="2"/>
        <v>56</v>
      </c>
      <c r="G21" s="74" t="str">
        <f t="shared" si="3"/>
        <v>09</v>
      </c>
      <c r="H21" s="49" t="str">
        <f t="shared" si="4"/>
        <v>Multiple Data Consumers</v>
      </c>
    </row>
    <row r="22" spans="1:14" x14ac:dyDescent="0.25">
      <c r="A22" s="62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75" t="str">
        <f t="shared" si="5"/>
        <v>00:56:09 Multiple Data Consumers</v>
      </c>
      <c r="C22" s="80" t="str">
        <f t="shared" si="6"/>
        <v>[[YouTube_URL Goes Here?t=1233|00:20:33]] Vocabulary Summary  in Pictures\\</v>
      </c>
      <c r="D22" s="43">
        <f t="shared" si="0"/>
        <v>3918</v>
      </c>
      <c r="E22" s="73" t="str">
        <f t="shared" si="1"/>
        <v>01</v>
      </c>
      <c r="F22" s="74" t="str">
        <f t="shared" si="2"/>
        <v>05</v>
      </c>
      <c r="G22" s="74" t="str">
        <f t="shared" si="3"/>
        <v>18</v>
      </c>
      <c r="H22" s="49" t="str">
        <f t="shared" si="4"/>
        <v>Summary and Wrap Up</v>
      </c>
    </row>
    <row r="23" spans="1:14" x14ac:dyDescent="0.25">
      <c r="A23" s="62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75" t="str">
        <f t="shared" si="5"/>
        <v>01:05:18 Summary and Wrap Up</v>
      </c>
      <c r="C23" s="80" t="str">
        <f t="shared" si="6"/>
        <v>[[YouTube_URL Goes Here?t=1328|00:22:08]] RFID Standards\\</v>
      </c>
      <c r="D23" s="43" t="e">
        <f t="shared" si="0"/>
        <v>#VALUE!</v>
      </c>
      <c r="E23" s="73" t="str">
        <f t="shared" si="1"/>
        <v/>
      </c>
      <c r="F23" s="74" t="str">
        <f t="shared" si="2"/>
        <v/>
      </c>
      <c r="G23" s="74" t="str">
        <f t="shared" si="3"/>
        <v/>
      </c>
      <c r="H23" s="49" t="str">
        <f t="shared" si="4"/>
        <v/>
      </c>
    </row>
    <row r="24" spans="1:14" x14ac:dyDescent="0.25">
      <c r="A24" s="62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75" t="str">
        <f t="shared" si="5"/>
        <v/>
      </c>
      <c r="C24" s="80" t="str">
        <f t="shared" si="6"/>
        <v>[[YouTube_URL Goes Here?t=1497|00:24:57]] Choice of Frequency\\</v>
      </c>
      <c r="D24" s="43" t="e">
        <f t="shared" si="0"/>
        <v>#VALUE!</v>
      </c>
      <c r="E24" s="73" t="str">
        <f t="shared" si="1"/>
        <v/>
      </c>
      <c r="F24" s="74" t="str">
        <f t="shared" si="2"/>
        <v/>
      </c>
      <c r="G24" s="74" t="str">
        <f t="shared" si="3"/>
        <v/>
      </c>
      <c r="H24" s="49" t="str">
        <f t="shared" si="4"/>
        <v/>
      </c>
    </row>
    <row r="25" spans="1:14" x14ac:dyDescent="0.25">
      <c r="A25" s="62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75" t="str">
        <f t="shared" si="5"/>
        <v/>
      </c>
      <c r="C25" s="80" t="str">
        <f t="shared" si="6"/>
        <v>[[YouTube_URL Goes Here?t=1582|00:26:22]] Q&amp;A Intermission\\</v>
      </c>
      <c r="D25" s="43" t="e">
        <f t="shared" si="0"/>
        <v>#VALUE!</v>
      </c>
      <c r="E25" s="73" t="str">
        <f t="shared" si="1"/>
        <v/>
      </c>
      <c r="F25" s="74" t="str">
        <f t="shared" si="2"/>
        <v/>
      </c>
      <c r="G25" s="74" t="str">
        <f t="shared" si="3"/>
        <v/>
      </c>
      <c r="H25" s="49" t="str">
        <f t="shared" si="4"/>
        <v/>
      </c>
    </row>
    <row r="26" spans="1:14" x14ac:dyDescent="0.25">
      <c r="A26" s="62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75" t="str">
        <f t="shared" si="5"/>
        <v/>
      </c>
      <c r="C26" s="80" t="str">
        <f t="shared" si="6"/>
        <v>[[YouTube_URL Goes Here?t=2337|00:38:57]] Example: RF Field Strength Tester\\</v>
      </c>
      <c r="D26" s="43" t="e">
        <f t="shared" si="0"/>
        <v>#VALUE!</v>
      </c>
      <c r="E26" s="73" t="str">
        <f t="shared" si="1"/>
        <v/>
      </c>
      <c r="F26" s="74" t="str">
        <f t="shared" si="2"/>
        <v/>
      </c>
      <c r="G26" s="74" t="str">
        <f t="shared" si="3"/>
        <v/>
      </c>
      <c r="H26" s="49" t="str">
        <f t="shared" si="4"/>
        <v/>
      </c>
    </row>
    <row r="27" spans="1:14" x14ac:dyDescent="0.25">
      <c r="A27" s="62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75" t="str">
        <f t="shared" si="5"/>
        <v/>
      </c>
      <c r="C27" s="80" t="str">
        <f t="shared" si="6"/>
        <v>[[YouTube_URL Goes Here?t=2919|00:48:39]] Part 2 - RFID Usage Cases\\</v>
      </c>
      <c r="D27" s="43" t="e">
        <f t="shared" si="0"/>
        <v>#VALUE!</v>
      </c>
      <c r="E27" s="73" t="str">
        <f t="shared" si="1"/>
        <v/>
      </c>
      <c r="F27" s="74" t="str">
        <f t="shared" si="2"/>
        <v/>
      </c>
      <c r="G27" s="74" t="str">
        <f t="shared" si="3"/>
        <v/>
      </c>
      <c r="H27" s="49" t="str">
        <f t="shared" si="4"/>
        <v/>
      </c>
    </row>
    <row r="28" spans="1:14" x14ac:dyDescent="0.25">
      <c r="A28" s="62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75" t="str">
        <f t="shared" si="5"/>
        <v/>
      </c>
      <c r="C28" s="80" t="str">
        <f t="shared" si="6"/>
        <v>[[YouTube_URL Goes Here?t=3369|00:56:09]] Multiple Data Consumers\\</v>
      </c>
      <c r="D28" s="43" t="e">
        <f t="shared" si="0"/>
        <v>#VALUE!</v>
      </c>
      <c r="E28" s="73" t="str">
        <f t="shared" si="1"/>
        <v/>
      </c>
      <c r="F28" s="74" t="str">
        <f t="shared" si="2"/>
        <v/>
      </c>
      <c r="G28" s="74" t="str">
        <f t="shared" si="3"/>
        <v/>
      </c>
      <c r="H28" s="49" t="str">
        <f t="shared" si="4"/>
        <v/>
      </c>
    </row>
    <row r="29" spans="1:14" ht="15.75" thickBot="1" x14ac:dyDescent="0.3">
      <c r="A29" s="63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75" t="str">
        <f t="shared" si="5"/>
        <v/>
      </c>
      <c r="C29" s="80" t="str">
        <f t="shared" si="6"/>
        <v>[[YouTube_URL Goes Here?t=3918|01:05:18]] Summary and Wrap Up\\</v>
      </c>
      <c r="D29" s="43" t="e">
        <f t="shared" si="0"/>
        <v>#VALUE!</v>
      </c>
      <c r="E29" s="73" t="str">
        <f t="shared" si="1"/>
        <v/>
      </c>
      <c r="F29" s="74" t="str">
        <f t="shared" si="2"/>
        <v/>
      </c>
      <c r="G29" s="74" t="str">
        <f t="shared" si="3"/>
        <v/>
      </c>
      <c r="H29" s="49" t="str">
        <f t="shared" si="4"/>
        <v/>
      </c>
    </row>
    <row r="30" spans="1:14" ht="15.75" thickBot="1" x14ac:dyDescent="0.3">
      <c r="B30" s="75" t="str">
        <f t="shared" si="5"/>
        <v/>
      </c>
      <c r="C30" s="80" t="str">
        <f t="shared" si="6"/>
        <v/>
      </c>
      <c r="D30" s="54" t="e">
        <f t="shared" si="0"/>
        <v>#VALUE!</v>
      </c>
      <c r="E30" s="55" t="str">
        <f t="shared" si="1"/>
        <v/>
      </c>
      <c r="F30" s="56" t="str">
        <f t="shared" si="2"/>
        <v/>
      </c>
      <c r="G30" s="56" t="str">
        <f t="shared" si="3"/>
        <v/>
      </c>
      <c r="H30" s="57" t="str">
        <f t="shared" si="4"/>
        <v/>
      </c>
    </row>
    <row r="31" spans="1:14" x14ac:dyDescent="0.25">
      <c r="B31" s="75" t="str">
        <f t="shared" si="5"/>
        <v/>
      </c>
      <c r="C31" s="80" t="str">
        <f t="shared" si="6"/>
        <v/>
      </c>
      <c r="D31"/>
    </row>
    <row r="32" spans="1:14" x14ac:dyDescent="0.25">
      <c r="B32" s="75" t="str">
        <f>IF(ISBLANK(LongDescription),"",LongDescription)</f>
        <v>Long Description here. Use \\ as EOL marker to force a new line on Wiki.</v>
      </c>
      <c r="C32" s="80" t="str">
        <f t="shared" si="6"/>
        <v/>
      </c>
    </row>
    <row r="33" spans="2:3" ht="15.75" thickBot="1" x14ac:dyDescent="0.3">
      <c r="B33" s="81"/>
      <c r="C33" s="80" t="str">
        <f t="shared" si="6"/>
        <v/>
      </c>
    </row>
    <row r="34" spans="2:3" x14ac:dyDescent="0.25">
      <c r="C34" s="80" t="str">
        <f t="shared" si="6"/>
        <v/>
      </c>
    </row>
    <row r="35" spans="2:3" x14ac:dyDescent="0.25">
      <c r="C35" s="80" t="str">
        <f t="shared" si="6"/>
        <v/>
      </c>
    </row>
    <row r="36" spans="2:3" x14ac:dyDescent="0.25">
      <c r="C36" s="80" t="str">
        <f t="shared" si="6"/>
        <v/>
      </c>
    </row>
    <row r="37" spans="2:3" x14ac:dyDescent="0.25">
      <c r="C37" s="80" t="str">
        <f t="shared" si="6"/>
        <v/>
      </c>
    </row>
    <row r="38" spans="2:3" x14ac:dyDescent="0.25">
      <c r="C38" s="82" t="str">
        <f>EndWrap</f>
        <v>&lt;/WRAP&gt;</v>
      </c>
    </row>
    <row r="39" spans="2:3" x14ac:dyDescent="0.25">
      <c r="C39" s="82" t="str">
        <f>WRAPcolumnhalf</f>
        <v>&lt;WRAP column half&gt;</v>
      </c>
    </row>
    <row r="40" spans="2:3" ht="30" x14ac:dyDescent="0.25">
      <c r="C40" s="83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2:3" x14ac:dyDescent="0.25">
      <c r="C41" s="82" t="str">
        <f>EndWrap</f>
        <v>&lt;/WRAP&gt;</v>
      </c>
    </row>
    <row r="42" spans="2:3" x14ac:dyDescent="0.25">
      <c r="C42" s="82" t="str">
        <f>EndWrap</f>
        <v>&lt;/WRAP&gt;</v>
      </c>
    </row>
    <row r="43" spans="2:3" x14ac:dyDescent="0.25">
      <c r="C43" s="82" t="str">
        <f>EndWrap</f>
        <v>&lt;/WRAP&gt;</v>
      </c>
    </row>
    <row r="44" spans="2:3" ht="15.75" thickBot="1" x14ac:dyDescent="0.3">
      <c r="C44" s="84" t="s">
        <v>22</v>
      </c>
    </row>
  </sheetData>
  <mergeCells count="2">
    <mergeCell ref="J11:N11"/>
    <mergeCell ref="D9:N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352425</xdr:colOff>
                <xdr:row>2</xdr:row>
                <xdr:rowOff>104775</xdr:rowOff>
              </from>
              <to>
                <xdr:col>2</xdr:col>
                <xdr:colOff>1714500</xdr:colOff>
                <xdr:row>4</xdr:row>
                <xdr:rowOff>66675</xdr:rowOff>
              </to>
            </anchor>
          </controlPr>
        </control>
      </mc:Choice>
      <mc:Fallback>
        <control shapeId="1031" r:id="rId4" name="btn_Select_EDL_File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Sheet3.ConvertToValues">
            <anchor moveWithCells="1" sizeWithCells="1">
              <from>
                <xdr:col>2</xdr:col>
                <xdr:colOff>3600450</xdr:colOff>
                <xdr:row>2</xdr:row>
                <xdr:rowOff>104775</xdr:rowOff>
              </from>
              <to>
                <xdr:col>2</xdr:col>
                <xdr:colOff>5238750</xdr:colOff>
                <xdr:row>4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>
      <selection activeCell="F36" sqref="F36"/>
    </sheetView>
  </sheetViews>
  <sheetFormatPr defaultRowHeight="15" x14ac:dyDescent="0.25"/>
  <cols>
    <col min="1" max="1" width="10.5703125" style="67" bestFit="1" customWidth="1"/>
    <col min="2" max="2" width="31.28515625" style="67" bestFit="1" customWidth="1"/>
    <col min="3" max="3" width="9.85546875" style="67" bestFit="1" customWidth="1"/>
    <col min="4" max="4" width="11.42578125" style="67" bestFit="1" customWidth="1"/>
    <col min="5" max="5" width="10.85546875" style="67" bestFit="1" customWidth="1"/>
    <col min="6" max="6" width="12.5703125" style="67" bestFit="1" customWidth="1"/>
    <col min="7" max="7" width="9" style="67" bestFit="1" customWidth="1"/>
    <col min="8" max="8" width="10.5703125" style="67" bestFit="1" customWidth="1"/>
    <col min="9" max="9" width="10" style="67" bestFit="1" customWidth="1"/>
    <col min="10" max="10" width="11.7109375" style="67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67" t="s">
        <v>53</v>
      </c>
      <c r="B1" s="67" t="s">
        <v>54</v>
      </c>
      <c r="C1" s="67" t="s">
        <v>55</v>
      </c>
      <c r="D1" s="67" t="s">
        <v>56</v>
      </c>
      <c r="E1" s="67" t="s">
        <v>57</v>
      </c>
      <c r="F1" s="67" t="s">
        <v>58</v>
      </c>
      <c r="G1" s="67" t="s">
        <v>59</v>
      </c>
      <c r="H1" s="67" t="s">
        <v>60</v>
      </c>
      <c r="I1" s="67" t="s">
        <v>61</v>
      </c>
      <c r="J1" s="67" t="s">
        <v>62</v>
      </c>
      <c r="L1" s="68" t="s">
        <v>63</v>
      </c>
    </row>
    <row r="2" spans="1:12" ht="15.75" thickBot="1" x14ac:dyDescent="0.3">
      <c r="A2" s="119" t="s">
        <v>64</v>
      </c>
      <c r="B2" s="119" t="s">
        <v>65</v>
      </c>
      <c r="C2" s="119">
        <v>0</v>
      </c>
      <c r="D2" s="119">
        <v>0</v>
      </c>
      <c r="E2" s="119">
        <v>12</v>
      </c>
      <c r="F2" s="119">
        <v>6</v>
      </c>
      <c r="G2" s="119">
        <v>0</v>
      </c>
      <c r="H2" s="119">
        <v>0</v>
      </c>
      <c r="I2" s="119">
        <v>12</v>
      </c>
      <c r="J2" s="119">
        <v>7</v>
      </c>
      <c r="L2" s="69" t="s">
        <v>128</v>
      </c>
    </row>
    <row r="3" spans="1:12" x14ac:dyDescent="0.25">
      <c r="A3" s="119" t="s">
        <v>66</v>
      </c>
      <c r="B3" s="119" t="s">
        <v>130</v>
      </c>
      <c r="C3" s="67">
        <v>0</v>
      </c>
      <c r="D3" s="67">
        <v>2</v>
      </c>
      <c r="E3" s="67">
        <v>14</v>
      </c>
      <c r="F3" s="67">
        <v>19</v>
      </c>
      <c r="G3" s="67">
        <v>0</v>
      </c>
      <c r="H3" s="67">
        <v>2</v>
      </c>
      <c r="I3" s="67">
        <v>14</v>
      </c>
      <c r="J3" s="67">
        <v>20</v>
      </c>
    </row>
    <row r="4" spans="1:12" x14ac:dyDescent="0.25">
      <c r="A4" s="119" t="s">
        <v>67</v>
      </c>
      <c r="B4" s="119" t="s">
        <v>131</v>
      </c>
      <c r="C4" s="67">
        <v>0</v>
      </c>
      <c r="D4" s="67">
        <v>3</v>
      </c>
      <c r="E4" s="67">
        <v>14</v>
      </c>
      <c r="F4" s="67">
        <v>16</v>
      </c>
      <c r="G4" s="67">
        <v>0</v>
      </c>
      <c r="H4" s="67">
        <v>3</v>
      </c>
      <c r="I4" s="67">
        <v>14</v>
      </c>
      <c r="J4" s="67">
        <v>17</v>
      </c>
    </row>
    <row r="5" spans="1:12" x14ac:dyDescent="0.25">
      <c r="A5" s="119" t="s">
        <v>68</v>
      </c>
      <c r="B5" s="119" t="s">
        <v>132</v>
      </c>
      <c r="C5" s="67">
        <v>0</v>
      </c>
      <c r="D5" s="67">
        <v>8</v>
      </c>
      <c r="E5" s="67">
        <v>33</v>
      </c>
      <c r="F5" s="67">
        <v>1</v>
      </c>
      <c r="G5" s="67">
        <v>0</v>
      </c>
      <c r="H5" s="67">
        <v>8</v>
      </c>
      <c r="I5" s="67">
        <v>33</v>
      </c>
      <c r="J5" s="67">
        <v>2</v>
      </c>
    </row>
    <row r="6" spans="1:12" x14ac:dyDescent="0.25">
      <c r="A6" s="119" t="s">
        <v>133</v>
      </c>
      <c r="B6" s="119" t="s">
        <v>134</v>
      </c>
      <c r="C6" s="67">
        <v>0</v>
      </c>
      <c r="D6" s="67">
        <v>20</v>
      </c>
      <c r="E6" s="67">
        <v>33</v>
      </c>
      <c r="F6" s="67">
        <v>18</v>
      </c>
      <c r="G6" s="67">
        <v>0</v>
      </c>
      <c r="H6" s="67">
        <v>20</v>
      </c>
      <c r="I6" s="67">
        <v>33</v>
      </c>
      <c r="J6" s="67">
        <v>19</v>
      </c>
    </row>
    <row r="7" spans="1:12" x14ac:dyDescent="0.25">
      <c r="A7" s="119" t="s">
        <v>135</v>
      </c>
      <c r="B7" s="119" t="s">
        <v>136</v>
      </c>
      <c r="C7" s="67">
        <v>0</v>
      </c>
      <c r="D7" s="67">
        <v>22</v>
      </c>
      <c r="E7" s="67">
        <v>8</v>
      </c>
      <c r="F7" s="67">
        <v>0</v>
      </c>
      <c r="G7" s="67">
        <v>0</v>
      </c>
      <c r="H7" s="67">
        <v>22</v>
      </c>
      <c r="I7" s="67">
        <v>8</v>
      </c>
      <c r="J7" s="67">
        <v>1</v>
      </c>
      <c r="L7" s="67"/>
    </row>
    <row r="8" spans="1:12" x14ac:dyDescent="0.25">
      <c r="A8" s="119" t="s">
        <v>137</v>
      </c>
      <c r="B8" s="119" t="s">
        <v>138</v>
      </c>
      <c r="C8" s="67">
        <v>0</v>
      </c>
      <c r="D8" s="67">
        <v>24</v>
      </c>
      <c r="E8" s="67">
        <v>57</v>
      </c>
      <c r="F8" s="67">
        <v>5</v>
      </c>
      <c r="G8" s="67">
        <v>0</v>
      </c>
      <c r="H8" s="67">
        <v>24</v>
      </c>
      <c r="I8" s="67">
        <v>57</v>
      </c>
      <c r="J8" s="67">
        <v>6</v>
      </c>
    </row>
    <row r="9" spans="1:12" x14ac:dyDescent="0.25">
      <c r="A9" s="119" t="s">
        <v>139</v>
      </c>
      <c r="B9" s="119" t="s">
        <v>140</v>
      </c>
      <c r="C9" s="67">
        <v>0</v>
      </c>
      <c r="D9" s="67">
        <v>26</v>
      </c>
      <c r="E9" s="67">
        <v>22</v>
      </c>
      <c r="F9" s="67">
        <v>12</v>
      </c>
      <c r="G9" s="67">
        <v>0</v>
      </c>
      <c r="H9" s="67">
        <v>26</v>
      </c>
      <c r="I9" s="67">
        <v>22</v>
      </c>
      <c r="J9" s="67">
        <v>13</v>
      </c>
      <c r="L9" s="70" t="s">
        <v>69</v>
      </c>
    </row>
    <row r="10" spans="1:12" x14ac:dyDescent="0.25">
      <c r="A10" s="119" t="s">
        <v>141</v>
      </c>
      <c r="B10" s="119" t="s">
        <v>142</v>
      </c>
      <c r="C10" s="67">
        <v>0</v>
      </c>
      <c r="D10" s="67">
        <v>38</v>
      </c>
      <c r="E10" s="67">
        <v>57</v>
      </c>
      <c r="F10" s="67">
        <v>9</v>
      </c>
      <c r="G10" s="67">
        <v>0</v>
      </c>
      <c r="H10" s="67">
        <v>38</v>
      </c>
      <c r="I10" s="67">
        <v>57</v>
      </c>
      <c r="J10" s="67">
        <v>10</v>
      </c>
      <c r="L10" s="44" t="s">
        <v>111</v>
      </c>
    </row>
    <row r="11" spans="1:12" x14ac:dyDescent="0.25">
      <c r="A11" s="119" t="s">
        <v>143</v>
      </c>
      <c r="B11" s="119" t="s">
        <v>144</v>
      </c>
      <c r="C11" s="67">
        <v>0</v>
      </c>
      <c r="D11" s="67">
        <v>48</v>
      </c>
      <c r="E11" s="67">
        <v>39</v>
      </c>
      <c r="F11" s="67">
        <v>7</v>
      </c>
      <c r="G11" s="67">
        <v>0</v>
      </c>
      <c r="H11" s="67">
        <v>48</v>
      </c>
      <c r="I11" s="67">
        <v>39</v>
      </c>
      <c r="J11" s="67">
        <v>8</v>
      </c>
      <c r="L11" s="71" t="s">
        <v>129</v>
      </c>
    </row>
    <row r="12" spans="1:12" x14ac:dyDescent="0.25">
      <c r="A12" s="119" t="s">
        <v>145</v>
      </c>
      <c r="B12" s="119" t="s">
        <v>146</v>
      </c>
      <c r="C12" s="67">
        <v>0</v>
      </c>
      <c r="D12" s="67">
        <v>56</v>
      </c>
      <c r="E12" s="67">
        <v>9</v>
      </c>
      <c r="F12" s="67">
        <v>6</v>
      </c>
      <c r="G12" s="67">
        <v>0</v>
      </c>
      <c r="H12" s="67">
        <v>56</v>
      </c>
      <c r="I12" s="67">
        <v>9</v>
      </c>
      <c r="J12" s="67">
        <v>7</v>
      </c>
      <c r="L12" s="44" t="s">
        <v>70</v>
      </c>
    </row>
    <row r="13" spans="1:12" x14ac:dyDescent="0.25">
      <c r="A13" s="119" t="s">
        <v>147</v>
      </c>
      <c r="B13" s="119" t="s">
        <v>148</v>
      </c>
      <c r="C13" s="67">
        <v>1</v>
      </c>
      <c r="D13" s="67">
        <v>5</v>
      </c>
      <c r="E13" s="67">
        <v>18</v>
      </c>
      <c r="F13" s="67">
        <v>12</v>
      </c>
      <c r="G13" s="67">
        <v>1</v>
      </c>
      <c r="H13" s="67">
        <v>5</v>
      </c>
      <c r="I13" s="67">
        <v>18</v>
      </c>
      <c r="J13" s="67">
        <v>13</v>
      </c>
      <c r="L13" s="44" t="s">
        <v>71</v>
      </c>
    </row>
    <row r="14" spans="1:12" x14ac:dyDescent="0.25">
      <c r="L14" s="44" t="s">
        <v>72</v>
      </c>
    </row>
    <row r="15" spans="1:12" x14ac:dyDescent="0.25">
      <c r="L15" s="44" t="s">
        <v>73</v>
      </c>
    </row>
    <row r="16" spans="1:12" x14ac:dyDescent="0.25">
      <c r="L16" s="44" t="s">
        <v>74</v>
      </c>
    </row>
    <row r="17" spans="12:12" x14ac:dyDescent="0.25">
      <c r="L17" s="44" t="s">
        <v>75</v>
      </c>
    </row>
    <row r="18" spans="12:12" x14ac:dyDescent="0.25">
      <c r="L18" s="44" t="s">
        <v>76</v>
      </c>
    </row>
    <row r="19" spans="12:12" x14ac:dyDescent="0.25">
      <c r="L19" s="44" t="s">
        <v>77</v>
      </c>
    </row>
    <row r="20" spans="12:12" x14ac:dyDescent="0.25">
      <c r="L20" s="44" t="s">
        <v>78</v>
      </c>
    </row>
    <row r="21" spans="12:12" x14ac:dyDescent="0.25">
      <c r="L21" s="44" t="s">
        <v>79</v>
      </c>
    </row>
    <row r="22" spans="12:12" x14ac:dyDescent="0.25">
      <c r="L22" s="44" t="s">
        <v>80</v>
      </c>
    </row>
    <row r="23" spans="12:12" x14ac:dyDescent="0.25">
      <c r="L23" s="44" t="s">
        <v>81</v>
      </c>
    </row>
    <row r="24" spans="12:12" x14ac:dyDescent="0.25">
      <c r="L24" s="44" t="s">
        <v>82</v>
      </c>
    </row>
    <row r="25" spans="12:12" x14ac:dyDescent="0.25">
      <c r="L25" s="44" t="s">
        <v>83</v>
      </c>
    </row>
    <row r="26" spans="12:12" x14ac:dyDescent="0.25">
      <c r="L26" s="44" t="s">
        <v>84</v>
      </c>
    </row>
    <row r="27" spans="12:12" x14ac:dyDescent="0.25">
      <c r="L27" s="44" t="s">
        <v>85</v>
      </c>
    </row>
    <row r="28" spans="12:12" x14ac:dyDescent="0.25">
      <c r="L28" s="44" t="s">
        <v>86</v>
      </c>
    </row>
    <row r="29" spans="12:12" x14ac:dyDescent="0.25">
      <c r="L29" s="44" t="s">
        <v>87</v>
      </c>
    </row>
    <row r="30" spans="12:12" x14ac:dyDescent="0.25">
      <c r="L30" s="44" t="s">
        <v>88</v>
      </c>
    </row>
    <row r="31" spans="12:12" x14ac:dyDescent="0.25">
      <c r="L31" s="44" t="s">
        <v>89</v>
      </c>
    </row>
    <row r="32" spans="12:12" x14ac:dyDescent="0.25">
      <c r="L32" s="44" t="s">
        <v>90</v>
      </c>
    </row>
    <row r="33" spans="12:12" x14ac:dyDescent="0.25">
      <c r="L33" s="44" t="s">
        <v>91</v>
      </c>
    </row>
    <row r="34" spans="12:12" x14ac:dyDescent="0.25">
      <c r="L34" s="44" t="s">
        <v>92</v>
      </c>
    </row>
    <row r="35" spans="12:12" x14ac:dyDescent="0.25">
      <c r="L35" s="44" t="s">
        <v>93</v>
      </c>
    </row>
    <row r="36" spans="12:12" x14ac:dyDescent="0.25">
      <c r="L36" s="44" t="s">
        <v>94</v>
      </c>
    </row>
    <row r="37" spans="12:12" x14ac:dyDescent="0.25">
      <c r="L37" s="44" t="s">
        <v>95</v>
      </c>
    </row>
    <row r="38" spans="12:12" x14ac:dyDescent="0.25">
      <c r="L38" s="44" t="s">
        <v>96</v>
      </c>
    </row>
    <row r="39" spans="12:12" x14ac:dyDescent="0.25">
      <c r="L39" s="44" t="s">
        <v>97</v>
      </c>
    </row>
    <row r="40" spans="12:12" x14ac:dyDescent="0.25">
      <c r="L40" s="44" t="s">
        <v>98</v>
      </c>
    </row>
    <row r="41" spans="12:12" x14ac:dyDescent="0.25">
      <c r="L41" s="44" t="s">
        <v>99</v>
      </c>
    </row>
    <row r="42" spans="12:12" x14ac:dyDescent="0.25">
      <c r="L42" s="44" t="s">
        <v>100</v>
      </c>
    </row>
    <row r="43" spans="12:12" x14ac:dyDescent="0.25">
      <c r="L43" s="44" t="s">
        <v>101</v>
      </c>
    </row>
    <row r="44" spans="12:12" x14ac:dyDescent="0.25">
      <c r="L44" s="44" t="s">
        <v>102</v>
      </c>
    </row>
    <row r="45" spans="12:12" x14ac:dyDescent="0.25">
      <c r="L45" s="44" t="s">
        <v>103</v>
      </c>
    </row>
    <row r="46" spans="12:12" x14ac:dyDescent="0.25">
      <c r="L46" s="44" t="s">
        <v>104</v>
      </c>
    </row>
    <row r="47" spans="12:12" x14ac:dyDescent="0.25">
      <c r="L47" s="44" t="s">
        <v>105</v>
      </c>
    </row>
    <row r="48" spans="12:12" x14ac:dyDescent="0.25">
      <c r="L48" s="44" t="s">
        <v>106</v>
      </c>
    </row>
    <row r="49" spans="12:12" x14ac:dyDescent="0.25">
      <c r="L49" s="44" t="s">
        <v>107</v>
      </c>
    </row>
    <row r="50" spans="12:12" x14ac:dyDescent="0.25">
      <c r="L50" s="44" t="s">
        <v>108</v>
      </c>
    </row>
    <row r="51" spans="12:12" x14ac:dyDescent="0.25">
      <c r="L51" s="44" t="s">
        <v>109</v>
      </c>
    </row>
  </sheetData>
  <sheetProtection selectLockedCells="1"/>
  <phoneticPr fontId="15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workbookViewId="0">
      <selection activeCell="F1" sqref="F1"/>
    </sheetView>
  </sheetViews>
  <sheetFormatPr defaultRowHeight="15" x14ac:dyDescent="0.25"/>
  <cols>
    <col min="1" max="1" width="3" customWidth="1"/>
    <col min="2" max="2" width="9.140625" style="10"/>
    <col min="3" max="3" width="61.140625" customWidth="1"/>
    <col min="4" max="4" width="11.140625" bestFit="1" customWidth="1"/>
    <col min="5" max="5" width="9.7109375" style="1" bestFit="1" customWidth="1"/>
    <col min="6" max="6" width="61" customWidth="1"/>
  </cols>
  <sheetData>
    <row r="1" spans="2:6" ht="21" x14ac:dyDescent="0.35">
      <c r="B1" s="12">
        <f>MAX(B4:B26)</f>
        <v>0.3</v>
      </c>
      <c r="C1" s="13" t="s">
        <v>42</v>
      </c>
      <c r="D1" s="11"/>
      <c r="E1" s="32"/>
      <c r="F1" s="33" t="s">
        <v>44</v>
      </c>
    </row>
    <row r="2" spans="2:6" ht="15.75" thickBot="1" x14ac:dyDescent="0.3"/>
    <row r="3" spans="2:6" ht="15.75" thickBot="1" x14ac:dyDescent="0.3">
      <c r="B3" s="15" t="s">
        <v>34</v>
      </c>
      <c r="C3" s="16" t="s">
        <v>35</v>
      </c>
      <c r="D3" s="16" t="s">
        <v>36</v>
      </c>
      <c r="E3" s="17" t="s">
        <v>37</v>
      </c>
      <c r="F3" s="18" t="s">
        <v>40</v>
      </c>
    </row>
    <row r="4" spans="2:6" x14ac:dyDescent="0.25">
      <c r="B4" s="19">
        <v>0</v>
      </c>
      <c r="C4" s="91" t="s">
        <v>39</v>
      </c>
      <c r="D4" s="20" t="s">
        <v>38</v>
      </c>
      <c r="E4" s="21">
        <v>44974</v>
      </c>
      <c r="F4" s="30" t="s">
        <v>41</v>
      </c>
    </row>
    <row r="5" spans="2:6" ht="45" x14ac:dyDescent="0.25">
      <c r="B5" s="22">
        <v>0.1</v>
      </c>
      <c r="C5" s="88" t="s">
        <v>121</v>
      </c>
      <c r="D5" s="28" t="s">
        <v>38</v>
      </c>
      <c r="E5" s="31">
        <v>44976</v>
      </c>
      <c r="F5" s="34" t="s">
        <v>45</v>
      </c>
    </row>
    <row r="6" spans="2:6" ht="30" x14ac:dyDescent="0.25">
      <c r="B6" s="22">
        <v>0.2</v>
      </c>
      <c r="C6" s="89" t="s">
        <v>114</v>
      </c>
      <c r="D6" s="28" t="s">
        <v>38</v>
      </c>
      <c r="E6" s="31">
        <v>44979</v>
      </c>
      <c r="F6" s="29" t="s">
        <v>113</v>
      </c>
    </row>
    <row r="7" spans="2:6" ht="60" x14ac:dyDescent="0.25">
      <c r="B7" s="85">
        <v>0.3</v>
      </c>
      <c r="C7" s="90" t="s">
        <v>179</v>
      </c>
      <c r="D7" s="86" t="s">
        <v>38</v>
      </c>
      <c r="E7" s="31">
        <v>44980</v>
      </c>
      <c r="F7" s="34" t="s">
        <v>180</v>
      </c>
    </row>
    <row r="8" spans="2:6" x14ac:dyDescent="0.25">
      <c r="B8" s="22"/>
      <c r="C8" s="87"/>
      <c r="D8" s="28"/>
      <c r="E8" s="14"/>
      <c r="F8" s="29"/>
    </row>
    <row r="9" spans="2:6" x14ac:dyDescent="0.25">
      <c r="B9" s="22"/>
      <c r="C9" s="27"/>
      <c r="D9" s="28"/>
      <c r="E9" s="14"/>
      <c r="F9" s="29"/>
    </row>
    <row r="10" spans="2:6" x14ac:dyDescent="0.25">
      <c r="B10" s="22"/>
      <c r="C10" s="27"/>
      <c r="D10" s="28"/>
      <c r="E10" s="14"/>
      <c r="F10" s="29"/>
    </row>
    <row r="11" spans="2:6" x14ac:dyDescent="0.25">
      <c r="B11" s="22"/>
      <c r="C11" s="27"/>
      <c r="D11" s="28"/>
      <c r="E11" s="14"/>
      <c r="F11" s="29"/>
    </row>
    <row r="12" spans="2:6" x14ac:dyDescent="0.25">
      <c r="B12" s="22"/>
      <c r="C12" s="27"/>
      <c r="D12" s="28"/>
      <c r="E12" s="14"/>
      <c r="F12" s="29"/>
    </row>
    <row r="13" spans="2:6" x14ac:dyDescent="0.25">
      <c r="B13" s="22"/>
      <c r="C13" s="27"/>
      <c r="D13" s="28"/>
      <c r="E13" s="14"/>
      <c r="F13" s="29"/>
    </row>
    <row r="14" spans="2:6" x14ac:dyDescent="0.25">
      <c r="B14" s="22"/>
      <c r="C14" s="27"/>
      <c r="D14" s="28"/>
      <c r="E14" s="14"/>
      <c r="F14" s="29"/>
    </row>
    <row r="15" spans="2:6" x14ac:dyDescent="0.25">
      <c r="B15" s="22"/>
      <c r="C15" s="27"/>
      <c r="D15" s="28"/>
      <c r="E15" s="14"/>
      <c r="F15" s="29"/>
    </row>
    <row r="16" spans="2:6" x14ac:dyDescent="0.25">
      <c r="B16" s="22"/>
      <c r="C16" s="27"/>
      <c r="D16" s="28"/>
      <c r="E16" s="14"/>
      <c r="F16" s="29"/>
    </row>
    <row r="17" spans="2:6" x14ac:dyDescent="0.25">
      <c r="B17" s="22"/>
      <c r="C17" s="27"/>
      <c r="D17" s="28"/>
      <c r="E17" s="14"/>
      <c r="F17" s="29"/>
    </row>
    <row r="18" spans="2:6" x14ac:dyDescent="0.25">
      <c r="B18" s="22"/>
      <c r="C18" s="27"/>
      <c r="D18" s="28"/>
      <c r="E18" s="14"/>
      <c r="F18" s="29"/>
    </row>
    <row r="19" spans="2:6" x14ac:dyDescent="0.25">
      <c r="B19" s="22"/>
      <c r="C19" s="27"/>
      <c r="D19" s="28"/>
      <c r="E19" s="14"/>
      <c r="F19" s="29"/>
    </row>
    <row r="20" spans="2:6" x14ac:dyDescent="0.25">
      <c r="B20" s="22"/>
      <c r="C20" s="27"/>
      <c r="D20" s="28"/>
      <c r="E20" s="14"/>
      <c r="F20" s="29"/>
    </row>
    <row r="21" spans="2:6" x14ac:dyDescent="0.25">
      <c r="B21" s="22"/>
      <c r="C21" s="27"/>
      <c r="D21" s="28"/>
      <c r="E21" s="14"/>
      <c r="F21" s="29"/>
    </row>
    <row r="22" spans="2:6" x14ac:dyDescent="0.25">
      <c r="B22" s="22"/>
      <c r="C22" s="27"/>
      <c r="D22" s="28"/>
      <c r="E22" s="14"/>
      <c r="F22" s="29"/>
    </row>
    <row r="23" spans="2:6" x14ac:dyDescent="0.25">
      <c r="B23" s="22"/>
      <c r="C23" s="27"/>
      <c r="D23" s="28"/>
      <c r="E23" s="14"/>
      <c r="F23" s="29"/>
    </row>
    <row r="24" spans="2:6" x14ac:dyDescent="0.25">
      <c r="B24" s="22"/>
      <c r="C24" s="27"/>
      <c r="D24" s="28"/>
      <c r="E24" s="14"/>
      <c r="F24" s="29"/>
    </row>
    <row r="25" spans="2:6" x14ac:dyDescent="0.25">
      <c r="B25" s="22"/>
      <c r="C25" s="27"/>
      <c r="D25" s="28"/>
      <c r="E25" s="14"/>
      <c r="F25" s="29"/>
    </row>
    <row r="26" spans="2:6" ht="15.75" thickBot="1" x14ac:dyDescent="0.3">
      <c r="B26" s="23"/>
      <c r="C26" s="24"/>
      <c r="D26" s="24"/>
      <c r="E26" s="25"/>
      <c r="F26" s="26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Instructions</vt:lpstr>
      <vt:lpstr>SIGSample</vt:lpstr>
      <vt:lpstr>Template</vt:lpstr>
      <vt:lpstr>EDL Processor</vt:lpstr>
      <vt:lpstr>Revision Control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2023-02-23T18:52:51Z</dcterms:modified>
</cp:coreProperties>
</file>