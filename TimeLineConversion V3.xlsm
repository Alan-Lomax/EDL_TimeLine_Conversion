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3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T:\Alan\Arduino\Arduino Sketches\GitHub\EDL_TimeLine_Conversion\"/>
    </mc:Choice>
  </mc:AlternateContent>
  <xr:revisionPtr revIDLastSave="0" documentId="13_ncr:1_{16366802-D9CC-49AD-8880-8B305128C7F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Instructions" sheetId="2" r:id="rId1"/>
    <sheet name="SigSample" sheetId="37" r:id="rId2"/>
    <sheet name="Template" sheetId="1" r:id="rId3"/>
    <sheet name="EDL Processor" sheetId="20" r:id="rId4"/>
    <sheet name="Revision Control" sheetId="7" r:id="rId5"/>
  </sheets>
  <functionGroups builtInGroupCount="19"/>
  <definedNames>
    <definedName name="BoxTitle" localSheetId="1">SigSample!$B$3</definedName>
    <definedName name="BoxTitle">Template!$B$3</definedName>
    <definedName name="EDLFileName">'EDL Processor'!$L$2</definedName>
    <definedName name="EndWrap" localSheetId="1">SigSample!$J$15</definedName>
    <definedName name="EndWrap">Template!$J$15</definedName>
    <definedName name="EOL" localSheetId="1">SigSample!$J$16</definedName>
    <definedName name="EOL">Template!$J$16</definedName>
    <definedName name="ExternalData_1" localSheetId="3" hidden="1">'EDL Processor'!$A$1:$J$13</definedName>
    <definedName name="LongDescription" localSheetId="1">SigSample!$B$8</definedName>
    <definedName name="LongDescription">Template!$B$8</definedName>
    <definedName name="LT1Hr" localSheetId="1">SigSample!$D$31</definedName>
    <definedName name="LT1Hr">Template!$D$31</definedName>
    <definedName name="NewSource">'EDL Processor'!$L$11</definedName>
    <definedName name="OneLineDescription" localSheetId="1">SigSample!$B$7</definedName>
    <definedName name="OneLineDescription">Template!$B$7</definedName>
    <definedName name="TL_Line1" localSheetId="1">SigSample!$A$10</definedName>
    <definedName name="TL_Line1">Template!$A$10</definedName>
    <definedName name="txtDateTime" localSheetId="1">SigSample!$B$4</definedName>
    <definedName name="txtDateTime">Template!$B$4</definedName>
    <definedName name="VideoTitle" localSheetId="1">SigSample!$B$5</definedName>
    <definedName name="VideoTitle">Template!$B$5</definedName>
    <definedName name="WRAPbox" localSheetId="1">SigSample!$J$12</definedName>
    <definedName name="WRAPbox">Template!$J$12</definedName>
    <definedName name="WRAPcolumn" localSheetId="1">SigSample!$J$13</definedName>
    <definedName name="WRAPcolumn">Template!$J$13</definedName>
    <definedName name="WRAPcolumnhalf" localSheetId="1">SigSample!$J$14</definedName>
    <definedName name="WRAPcolumnhalf">Template!$J$14</definedName>
    <definedName name="YT_minutes" localSheetId="1">SigSample!$B$6</definedName>
    <definedName name="YT_minutes">Template!$B$6</definedName>
    <definedName name="YT_Show_More" localSheetId="1">SigSample!$J$11</definedName>
    <definedName name="YT_Show_More">Template!$J$11</definedName>
    <definedName name="YT_URL" localSheetId="1">SigSample!$B$2</definedName>
    <definedName name="YT_URL">Template!$B$2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7" i="37" l="1"/>
  <c r="C36" i="37"/>
  <c r="C35" i="37"/>
  <c r="C34" i="37"/>
  <c r="C33" i="37"/>
  <c r="C32" i="37"/>
  <c r="C31" i="37"/>
  <c r="C30" i="37"/>
  <c r="C29" i="37"/>
  <c r="C28" i="37"/>
  <c r="C27" i="37"/>
  <c r="C26" i="37"/>
  <c r="C25" i="37"/>
  <c r="C24" i="37"/>
  <c r="C23" i="37"/>
  <c r="C22" i="37"/>
  <c r="C21" i="37"/>
  <c r="C20" i="37"/>
  <c r="C19" i="37"/>
  <c r="C18" i="37"/>
  <c r="C18" i="1"/>
  <c r="C19" i="1"/>
  <c r="C20" i="1"/>
  <c r="C21" i="1"/>
  <c r="C22" i="1"/>
  <c r="C23" i="1"/>
  <c r="C24" i="1"/>
  <c r="C25" i="1"/>
  <c r="C26" i="1"/>
  <c r="C27" i="1"/>
  <c r="C28" i="1"/>
  <c r="C29" i="1"/>
  <c r="C31" i="1"/>
  <c r="C32" i="1"/>
  <c r="C33" i="1"/>
  <c r="C34" i="1"/>
  <c r="C35" i="1"/>
  <c r="C36" i="1"/>
  <c r="C37" i="1"/>
  <c r="C30" i="1"/>
  <c r="C43" i="37"/>
  <c r="C42" i="37"/>
  <c r="C41" i="37"/>
  <c r="C40" i="37"/>
  <c r="C39" i="37"/>
  <c r="C38" i="37"/>
  <c r="B32" i="37"/>
  <c r="A29" i="37"/>
  <c r="G30" i="37" s="1"/>
  <c r="A28" i="37"/>
  <c r="B30" i="37" s="1"/>
  <c r="A27" i="37"/>
  <c r="F28" i="37" s="1"/>
  <c r="A26" i="37"/>
  <c r="B28" i="37" s="1"/>
  <c r="A25" i="37"/>
  <c r="F26" i="37" s="1"/>
  <c r="A24" i="37"/>
  <c r="B26" i="37" s="1"/>
  <c r="A23" i="37"/>
  <c r="F24" i="37" s="1"/>
  <c r="A22" i="37"/>
  <c r="A21" i="37"/>
  <c r="F22" i="37" s="1"/>
  <c r="A20" i="37"/>
  <c r="A19" i="37"/>
  <c r="F20" i="37" s="1"/>
  <c r="A18" i="37"/>
  <c r="C17" i="37"/>
  <c r="A17" i="37"/>
  <c r="F18" i="37" s="1"/>
  <c r="C16" i="37"/>
  <c r="A16" i="37"/>
  <c r="C15" i="37"/>
  <c r="A15" i="37"/>
  <c r="F16" i="37" s="1"/>
  <c r="C14" i="37"/>
  <c r="A14" i="37"/>
  <c r="C13" i="37"/>
  <c r="A13" i="37"/>
  <c r="F14" i="37" s="1"/>
  <c r="C12" i="37"/>
  <c r="A12" i="37"/>
  <c r="C11" i="37"/>
  <c r="B11" i="37"/>
  <c r="A11" i="37"/>
  <c r="F12" i="37" s="1"/>
  <c r="C10" i="37"/>
  <c r="B10" i="37"/>
  <c r="A10" i="37"/>
  <c r="C7" i="37"/>
  <c r="A10" i="1"/>
  <c r="H11" i="1" s="1"/>
  <c r="A11" i="1"/>
  <c r="G12" i="1" s="1"/>
  <c r="A12" i="1"/>
  <c r="H13" i="1" s="1"/>
  <c r="A13" i="1"/>
  <c r="H14" i="1" s="1"/>
  <c r="A14" i="1"/>
  <c r="H15" i="1" s="1"/>
  <c r="A15" i="1"/>
  <c r="E16" i="1" s="1"/>
  <c r="A16" i="1"/>
  <c r="H17" i="1" s="1"/>
  <c r="A17" i="1"/>
  <c r="G18" i="1" s="1"/>
  <c r="A18" i="1"/>
  <c r="H19" i="1" s="1"/>
  <c r="A19" i="1"/>
  <c r="E20" i="1" s="1"/>
  <c r="A20" i="1"/>
  <c r="H21" i="1" s="1"/>
  <c r="A21" i="1"/>
  <c r="H22" i="1" s="1"/>
  <c r="A22" i="1"/>
  <c r="G23" i="1" s="1"/>
  <c r="A23" i="1"/>
  <c r="G24" i="1" s="1"/>
  <c r="A24" i="1"/>
  <c r="E25" i="1" s="1"/>
  <c r="A25" i="1"/>
  <c r="H26" i="1" s="1"/>
  <c r="A26" i="1"/>
  <c r="H27" i="1" s="1"/>
  <c r="A27" i="1"/>
  <c r="H28" i="1" s="1"/>
  <c r="A28" i="1"/>
  <c r="H29" i="1" s="1"/>
  <c r="A29" i="1"/>
  <c r="H30" i="1" s="1"/>
  <c r="C7" i="1"/>
  <c r="B1" i="7"/>
  <c r="A1" i="2" s="1"/>
  <c r="C40" i="1"/>
  <c r="C43" i="1"/>
  <c r="G12" i="37" l="1"/>
  <c r="G14" i="37"/>
  <c r="G16" i="37"/>
  <c r="G18" i="37"/>
  <c r="G20" i="37"/>
  <c r="G22" i="37"/>
  <c r="G24" i="37"/>
  <c r="G26" i="37"/>
  <c r="G28" i="37"/>
  <c r="H30" i="37"/>
  <c r="H12" i="37"/>
  <c r="H14" i="37"/>
  <c r="H16" i="37"/>
  <c r="H18" i="37"/>
  <c r="H20" i="37"/>
  <c r="H22" i="37"/>
  <c r="H24" i="37"/>
  <c r="H26" i="37"/>
  <c r="H28" i="37"/>
  <c r="B31" i="37"/>
  <c r="B13" i="37"/>
  <c r="B21" i="37"/>
  <c r="B27" i="37"/>
  <c r="B17" i="37"/>
  <c r="B29" i="37"/>
  <c r="B19" i="37"/>
  <c r="B25" i="37"/>
  <c r="E11" i="37"/>
  <c r="D11" i="37" s="1"/>
  <c r="E13" i="37"/>
  <c r="D13" i="37" s="1"/>
  <c r="E17" i="37"/>
  <c r="D17" i="37" s="1"/>
  <c r="E19" i="37"/>
  <c r="D19" i="37" s="1"/>
  <c r="E21" i="37"/>
  <c r="E23" i="37"/>
  <c r="E25" i="37"/>
  <c r="E27" i="37"/>
  <c r="E29" i="37"/>
  <c r="B23" i="37"/>
  <c r="F11" i="37"/>
  <c r="F13" i="37"/>
  <c r="F15" i="37"/>
  <c r="F17" i="37"/>
  <c r="F19" i="37"/>
  <c r="F21" i="37"/>
  <c r="F23" i="37"/>
  <c r="F25" i="37"/>
  <c r="F27" i="37"/>
  <c r="F29" i="37"/>
  <c r="B15" i="37"/>
  <c r="E15" i="37"/>
  <c r="G11" i="37"/>
  <c r="G13" i="37"/>
  <c r="G15" i="37"/>
  <c r="G17" i="37"/>
  <c r="G19" i="37"/>
  <c r="G21" i="37"/>
  <c r="G23" i="37"/>
  <c r="G25" i="37"/>
  <c r="G27" i="37"/>
  <c r="G29" i="37"/>
  <c r="H11" i="37"/>
  <c r="H13" i="37"/>
  <c r="H15" i="37"/>
  <c r="H17" i="37"/>
  <c r="H19" i="37"/>
  <c r="H21" i="37"/>
  <c r="H23" i="37"/>
  <c r="H25" i="37"/>
  <c r="H27" i="37"/>
  <c r="H29" i="37"/>
  <c r="B12" i="37"/>
  <c r="B14" i="37"/>
  <c r="B16" i="37"/>
  <c r="B18" i="37"/>
  <c r="B20" i="37"/>
  <c r="B22" i="37"/>
  <c r="B24" i="37"/>
  <c r="E30" i="37"/>
  <c r="E12" i="37"/>
  <c r="D12" i="37" s="1"/>
  <c r="E14" i="37"/>
  <c r="D14" i="37" s="1"/>
  <c r="E16" i="37"/>
  <c r="D16" i="37" s="1"/>
  <c r="E18" i="37"/>
  <c r="E20" i="37"/>
  <c r="D20" i="37" s="1"/>
  <c r="E22" i="37"/>
  <c r="D22" i="37" s="1"/>
  <c r="E24" i="37"/>
  <c r="D24" i="37" s="1"/>
  <c r="E26" i="37"/>
  <c r="E28" i="37"/>
  <c r="D28" i="37" s="1"/>
  <c r="F30" i="37"/>
  <c r="H20" i="1"/>
  <c r="F20" i="1"/>
  <c r="G17" i="1"/>
  <c r="G21" i="1"/>
  <c r="E17" i="1"/>
  <c r="H18" i="1"/>
  <c r="E18" i="1"/>
  <c r="F18" i="1"/>
  <c r="G16" i="1"/>
  <c r="E19" i="1"/>
  <c r="F16" i="1"/>
  <c r="F19" i="1"/>
  <c r="G19" i="1"/>
  <c r="H16" i="1"/>
  <c r="F17" i="1"/>
  <c r="G20" i="1"/>
  <c r="E13" i="1"/>
  <c r="F13" i="1"/>
  <c r="G13" i="1"/>
  <c r="E21" i="1"/>
  <c r="F21" i="1"/>
  <c r="E23" i="1"/>
  <c r="H23" i="1"/>
  <c r="F24" i="1"/>
  <c r="H24" i="1"/>
  <c r="F25" i="1"/>
  <c r="H25" i="1"/>
  <c r="G25" i="1"/>
  <c r="E22" i="1"/>
  <c r="F22" i="1"/>
  <c r="G22" i="1"/>
  <c r="E14" i="1"/>
  <c r="E15" i="1"/>
  <c r="G15" i="1"/>
  <c r="F15" i="1"/>
  <c r="F14" i="1"/>
  <c r="E28" i="1"/>
  <c r="G14" i="1"/>
  <c r="F28" i="1"/>
  <c r="G28" i="1"/>
  <c r="F23" i="1"/>
  <c r="E24" i="1"/>
  <c r="E29" i="1"/>
  <c r="F29" i="1"/>
  <c r="G29" i="1"/>
  <c r="E26" i="1"/>
  <c r="F26" i="1"/>
  <c r="G26" i="1"/>
  <c r="E30" i="1"/>
  <c r="F30" i="1"/>
  <c r="E27" i="1"/>
  <c r="G30" i="1"/>
  <c r="F27" i="1"/>
  <c r="G27" i="1"/>
  <c r="E12" i="1"/>
  <c r="F12" i="1"/>
  <c r="H12" i="1"/>
  <c r="B12" i="1"/>
  <c r="E11" i="1"/>
  <c r="F11" i="1"/>
  <c r="G11" i="1"/>
  <c r="C13" i="1"/>
  <c r="C12" i="1"/>
  <c r="C11" i="1"/>
  <c r="B11" i="1"/>
  <c r="C17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10" i="1"/>
  <c r="B32" i="1"/>
  <c r="C16" i="1"/>
  <c r="C42" i="1"/>
  <c r="C41" i="1"/>
  <c r="C39" i="1"/>
  <c r="C38" i="1"/>
  <c r="C15" i="1"/>
  <c r="C14" i="1"/>
  <c r="C10" i="1"/>
  <c r="B13" i="1"/>
  <c r="D21" i="37" l="1"/>
  <c r="D26" i="37"/>
  <c r="D18" i="37"/>
  <c r="D29" i="37"/>
  <c r="D15" i="37"/>
  <c r="D27" i="37"/>
  <c r="D25" i="37"/>
  <c r="D30" i="37"/>
  <c r="D23" i="37"/>
  <c r="D23" i="1"/>
  <c r="D20" i="1"/>
  <c r="D24" i="1"/>
  <c r="D18" i="1"/>
  <c r="D19" i="1"/>
  <c r="D17" i="1"/>
  <c r="D16" i="1"/>
  <c r="D13" i="1"/>
  <c r="D14" i="1"/>
  <c r="D15" i="1"/>
  <c r="D11" i="1"/>
  <c r="D25" i="1"/>
  <c r="D21" i="1"/>
  <c r="D22" i="1"/>
  <c r="D27" i="1"/>
  <c r="D28" i="1"/>
  <c r="D30" i="1"/>
  <c r="D26" i="1"/>
  <c r="D29" i="1"/>
  <c r="D1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Lomax</author>
  </authors>
  <commentList>
    <comment ref="A1" authorId="0" shapeId="0" xr:uid="{3B68E869-EBEB-47B4-B20E-6C38D1FA7636}">
      <text>
        <r>
          <rPr>
            <b/>
            <sz val="9"/>
            <color indexed="81"/>
            <rFont val="Tahoma"/>
            <family val="2"/>
          </rPr>
          <t>Alan Lomax:</t>
        </r>
        <r>
          <rPr>
            <sz val="9"/>
            <color indexed="81"/>
            <rFont val="Tahoma"/>
            <family val="2"/>
          </rPr>
          <t xml:space="preserve">
Jump to Revision details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Lomax</author>
  </authors>
  <commentList>
    <comment ref="B9" authorId="0" shapeId="0" xr:uid="{EE4B9262-3239-4596-A245-DE5F9107CB6E}">
      <text>
        <r>
          <rPr>
            <b/>
            <sz val="9"/>
            <color indexed="81"/>
            <rFont val="Tahoma"/>
            <family val="2"/>
          </rPr>
          <t>Alan Lomax: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10"/>
            <rFont val="Tahoma"/>
            <family val="2"/>
          </rPr>
          <t>DO NOT</t>
        </r>
        <r>
          <rPr>
            <sz val="9"/>
            <color indexed="81"/>
            <rFont val="Tahoma"/>
            <family val="2"/>
          </rPr>
          <t xml:space="preserve"> manually enter text in the green output boxes</t>
        </r>
      </text>
    </comment>
    <comment ref="C9" authorId="0" shapeId="0" xr:uid="{25438115-34BB-4360-AFC0-991626E8E489}">
      <text>
        <r>
          <rPr>
            <b/>
            <sz val="9"/>
            <color indexed="81"/>
            <rFont val="Tahoma"/>
            <family val="2"/>
          </rPr>
          <t>Alan Lomax: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10"/>
            <rFont val="Tahoma"/>
            <family val="2"/>
          </rPr>
          <t>DO NOT</t>
        </r>
        <r>
          <rPr>
            <sz val="9"/>
            <color indexed="81"/>
            <rFont val="Tahoma"/>
            <family val="2"/>
          </rPr>
          <t xml:space="preserve"> manually enter text in the blue output boxes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Lomax</author>
  </authors>
  <commentList>
    <comment ref="B9" authorId="0" shapeId="0" xr:uid="{5C10F847-D7C9-4D73-B69C-4AF5FDA2BDC4}">
      <text>
        <r>
          <rPr>
            <b/>
            <sz val="9"/>
            <color indexed="81"/>
            <rFont val="Tahoma"/>
            <family val="2"/>
          </rPr>
          <t>Alan Lomax: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10"/>
            <rFont val="Tahoma"/>
            <family val="2"/>
          </rPr>
          <t>DO NOT</t>
        </r>
        <r>
          <rPr>
            <sz val="9"/>
            <color indexed="81"/>
            <rFont val="Tahoma"/>
            <family val="2"/>
          </rPr>
          <t xml:space="preserve"> manually enter text in the green output boxes</t>
        </r>
      </text>
    </comment>
    <comment ref="C9" authorId="0" shapeId="0" xr:uid="{E75B66BE-D66E-4046-9833-842F16BF25F4}">
      <text>
        <r>
          <rPr>
            <b/>
            <sz val="9"/>
            <color indexed="81"/>
            <rFont val="Tahoma"/>
            <family val="2"/>
          </rPr>
          <t>Alan Lomax: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10"/>
            <rFont val="Tahoma"/>
            <family val="2"/>
          </rPr>
          <t>DO NOT</t>
        </r>
        <r>
          <rPr>
            <sz val="9"/>
            <color indexed="81"/>
            <rFont val="Tahoma"/>
            <family val="2"/>
          </rPr>
          <t xml:space="preserve"> manually enter text in the blue output boxes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727CA7-7642-4664-ABB6-64C944BAA7CB}" keepAlive="1" name="Connection" type="5" refreshedVersion="8" saveData="1">
    <dbPr connection="Provider=Microsoft.Mashup.OleDb.1;Data Source=$Workbook$;Location=&quot;Timeline 1&quot;;Extended Properties=&quot;&quot;" command="SELECT * FROM [Timeline 1]" commandType="4"/>
  </connection>
  <connection id="2" xr16:uid="{A532A8ED-2F10-4E37-AB81-4AA590BF7D20}" keepAlive="1" name="Connection1" type="5" refreshedVersion="0" background="1">
    <dbPr connection="Provider=Microsoft.Mashup.OleDb.1;Data Source=$Workbook$;Location=Timeline 1" commandType="0"/>
  </connection>
  <connection id="3" xr16:uid="{C1F248A4-BC65-4CDD-8D6C-90B97C604B24}" keepAlive="1" name="Connection10" type="5" refreshedVersion="0" background="1">
    <dbPr connection="Provider=Microsoft.Mashup.OleDb.1;Data Source=$Workbook$;Location=Timeline 1" commandType="0"/>
  </connection>
  <connection id="4" xr16:uid="{DF60C0C7-E725-430A-8233-03CC003CEEA1}" keepAlive="1" name="Connection11" type="5" refreshedVersion="0" background="1">
    <dbPr connection="Provider=Microsoft.Mashup.OleDb.1;Data Source=$Workbook$;Location=Timeline 1" commandType="0"/>
  </connection>
  <connection id="5" xr16:uid="{6BEF41B3-9F76-4436-9AB3-A48D3A3B8917}" keepAlive="1" name="Connection12" type="5" refreshedVersion="0" background="1">
    <dbPr connection="Provider=Microsoft.Mashup.OleDb.1;Data Source=$Workbook$;Location=Timeline 1" commandType="0"/>
  </connection>
  <connection id="6" xr16:uid="{15F8BEBA-0B4A-4ED4-8357-82A6F0EACE61}" keepAlive="1" name="Connection13" type="5" refreshedVersion="0" background="1">
    <dbPr connection="Provider=Microsoft.Mashup.OleDb.1;Data Source=$Workbook$;Location=Timeline 1" commandType="0"/>
  </connection>
  <connection id="7" xr16:uid="{F8112F0A-7413-4F07-8AA7-72D1E17A9799}" keepAlive="1" name="Connection14" type="5" refreshedVersion="0" background="1">
    <dbPr connection="Provider=Microsoft.Mashup.OleDb.1;Data Source=$Workbook$;Location=Timeline 1" commandType="0"/>
  </connection>
  <connection id="8" xr16:uid="{BC3C04DD-9F85-46E3-9D3B-532E3BA1036E}" keepAlive="1" name="Connection15" type="5" refreshedVersion="0" background="1">
    <dbPr connection="Provider=Microsoft.Mashup.OleDb.1;Data Source=$Workbook$;Location=Timeline 1" commandType="0"/>
  </connection>
  <connection id="9" xr16:uid="{E4E572F9-3FA4-4F76-95FD-5E1658640E4C}" keepAlive="1" name="Connection16" type="5" refreshedVersion="0" background="1">
    <dbPr connection="Provider=Microsoft.Mashup.OleDb.1;Data Source=$Workbook$;Location=Timeline 1" commandType="0"/>
  </connection>
  <connection id="10" xr16:uid="{3FFACA6A-4823-4BB4-9A97-2CA3D536BBBF}" keepAlive="1" name="Connection17" type="5" refreshedVersion="0" background="1">
    <dbPr connection="Provider=Microsoft.Mashup.OleDb.1;Data Source=$Workbook$;Location=Timeline 1" commandType="0"/>
  </connection>
  <connection id="11" xr16:uid="{3F373ABB-03C9-492F-948C-E968660BA50B}" keepAlive="1" name="Connection18" type="5" refreshedVersion="0" background="1">
    <dbPr connection="Provider=Microsoft.Mashup.OleDb.1;Data Source=$Workbook$;Location=Timeline 1" commandType="0"/>
  </connection>
  <connection id="12" xr16:uid="{932DA25E-CB22-463B-9082-F75939C47743}" keepAlive="1" name="Connection19" type="5" refreshedVersion="0" background="1">
    <dbPr connection="Provider=Microsoft.Mashup.OleDb.1;Data Source=$Workbook$;Location=Timeline 1" commandType="0"/>
  </connection>
  <connection id="13" xr16:uid="{0CCA5C9E-2585-4340-86A7-CAD1A4C89A5C}" keepAlive="1" name="Connection2" type="5" refreshedVersion="0" background="1">
    <dbPr connection="Provider=Microsoft.Mashup.OleDb.1;Data Source=$Workbook$;Location=Timeline 1" commandType="0"/>
  </connection>
  <connection id="14" xr16:uid="{8DF6B3FE-6553-48C5-AB82-6C19AE57D159}" keepAlive="1" name="Connection20" type="5" refreshedVersion="0" background="1">
    <dbPr connection="Provider=Microsoft.Mashup.OleDb.1;Data Source=$Workbook$;Location=Timeline 1" commandType="0"/>
  </connection>
  <connection id="15" xr16:uid="{C72ABBD5-389E-4FF4-8B5A-0D10AC7A4D88}" keepAlive="1" name="Connection21" type="5" refreshedVersion="0" background="1">
    <dbPr connection="Provider=Microsoft.Mashup.OleDb.1;Data Source=$Workbook$;Location=Timeline 1" commandType="0"/>
  </connection>
  <connection id="16" xr16:uid="{2A349D08-AE6C-4360-93C6-0AC59E9AD069}" keepAlive="1" name="Connection22" type="5" refreshedVersion="8" background="1" saveData="1">
    <dbPr connection="Provider=Microsoft.Mashup.OleDb.1;Data Source=$Workbook$;Location=Timeline 1" command="SELECT * FROM [Timeline 1]" commandType="4"/>
  </connection>
  <connection id="17" xr16:uid="{A3BEDD92-A95C-46F9-B67A-535EE8C39C4E}" keepAlive="1" name="Connection23" type="5" refreshedVersion="8" saveData="1">
    <dbPr connection="Provider=Microsoft.Mashup.OleDb.1;Data Source=$Workbook$;Location=Timeline 1" command="SELECT * FROM [Timeline 1]" commandType="4"/>
  </connection>
  <connection id="18" xr16:uid="{EA6519FB-081F-47BE-A6C6-2939211E3E2B}" keepAlive="1" name="Connection24" type="5" refreshedVersion="8" saveData="1">
    <dbPr connection="Provider=Microsoft.Mashup.OleDb.1;Data Source=$Workbook$;Location=Timeline 1" command="SELECT * FROM [Timeline 1]" commandType="4"/>
  </connection>
  <connection id="19" xr16:uid="{64166C79-032E-4CBF-BC25-EEB50B4CFF17}" keepAlive="1" name="Connection25" type="5" refreshedVersion="0" background="1">
    <dbPr connection="Provider=Microsoft.Mashup.OleDb.1;Data Source=$Workbook$;Location=Timeline 1" commandType="0"/>
  </connection>
  <connection id="20" xr16:uid="{D3CDBFEF-810A-47E6-88E4-5A7886CE235E}" keepAlive="1" name="Connection26" type="5" refreshedVersion="8" background="1" saveData="1">
    <dbPr connection="Provider=Microsoft.Mashup.OleDb.1;Data Source=$Workbook$;Location=Timeline 1" command="SELECT * FROM [Timeline 1]" commandType="4"/>
  </connection>
  <connection id="21" xr16:uid="{EF4F9112-2E92-4AC9-8126-C06BFC0BF13E}" keepAlive="1" name="Connection27" type="5" refreshedVersion="0" saveData="1">
    <dbPr connection="Provider=Microsoft.Mashup.OleDb.1;Data Source=$Workbook$;Location=Timeline 1" command="SELECT * FROM [Timeline 1]" commandType="4"/>
  </connection>
  <connection id="22" xr16:uid="{2F9E7304-C7BE-4710-8A66-F6FD0CEA2F42}" keepAlive="1" name="Connection28" type="5" refreshedVersion="0" saveData="1">
    <dbPr connection="Provider=Microsoft.Mashup.OleDb.1;Data Source=$Workbook$;Location=Timeline 1" command="SELECT * FROM [Timeline 1]" commandType="4"/>
  </connection>
  <connection id="23" xr16:uid="{D784350B-E089-4FAB-AF7D-DAAE03DEC624}" keepAlive="1" name="Connection29" type="5" refreshedVersion="8" saveData="1">
    <dbPr connection="Provider=Microsoft.Mashup.OleDb.1;Data Source=$Workbook$;Location=Timeline 1" command="SELECT * FROM [Timeline 1]" commandType="4"/>
  </connection>
  <connection id="24" xr16:uid="{678A03E3-AB3E-4E63-AA8B-206B6E54AA01}" keepAlive="1" name="Connection3" type="5" refreshedVersion="0" background="1">
    <dbPr connection="Provider=Microsoft.Mashup.OleDb.1;Data Source=$Workbook$;Location=Timeline 1" commandType="0"/>
  </connection>
  <connection id="25" xr16:uid="{CB208F3A-386E-4D22-A6EF-FC7F426E4D85}" keepAlive="1" name="Connection30" type="5" refreshedVersion="0" saveData="1">
    <dbPr connection="Provider=Microsoft.Mashup.OleDb.1;Data Source=$Workbook$;Location=Timeline 1" command="SELECT * FROM [Timeline 1]" commandType="4"/>
  </connection>
  <connection id="26" xr16:uid="{E19F6B15-88E7-4FF8-9F61-D3DA1C4102BF}" keepAlive="1" name="Connection31" type="5" refreshedVersion="0" saveData="1">
    <dbPr connection="Provider=Microsoft.Mashup.OleDb.1;Data Source=$Workbook$;Location=Timeline 1" command="SELECT * FROM [Timeline 1]" commandType="4"/>
  </connection>
  <connection id="27" xr16:uid="{1227DED6-F827-4C8E-B564-1248F7250CCF}" keepAlive="1" name="Connection32" type="5" refreshedVersion="0" saveData="1">
    <dbPr connection="Provider=Microsoft.Mashup.OleDb.1;Data Source=$Workbook$;Location=Timeline 1" command="SELECT * FROM [Timeline 1]" commandType="4"/>
  </connection>
  <connection id="28" xr16:uid="{9FA683D6-EB43-4ACA-978D-17C9C1D9199E}" keepAlive="1" name="Connection33" type="5" refreshedVersion="8" saveData="1">
    <dbPr connection="Provider=Microsoft.Mashup.OleDb.1;Data Source=$Workbook$;Location=Timeline 1" command="SELECT * FROM [Timeline 1]" commandType="4"/>
  </connection>
  <connection id="29" xr16:uid="{91C16F62-85A3-4267-A1B2-41C5BF320B47}" keepAlive="1" name="Connection34" type="5" refreshedVersion="8" saveData="1">
    <dbPr connection="Provider=Microsoft.Mashup.OleDb.1;Data Source=$Workbook$;Location=Timeline 1" command="SELECT * FROM [Timeline 1]" commandType="4"/>
  </connection>
  <connection id="30" xr16:uid="{5B42AFDA-5C7E-4CAE-8358-1C571BA5377D}" keepAlive="1" name="Connection35" type="5" refreshedVersion="0" saveData="1">
    <dbPr connection="Provider=Microsoft.Mashup.OleDb.1;Data Source=$Workbook$;Location=Timeline 1" command="SELECT * FROM [Timeline 1]" commandType="4"/>
  </connection>
  <connection id="31" xr16:uid="{B7A32257-AAF6-440F-905C-A5A0B17FDFB2}" keepAlive="1" name="Connection36" type="5" refreshedVersion="8" saveData="1">
    <dbPr connection="Provider=Microsoft.Mashup.OleDb.1;Data Source=$Workbook$;Location=Timeline 1" command="SELECT * FROM [Timeline 1]" commandType="4"/>
  </connection>
  <connection id="32" xr16:uid="{073C6742-0D4E-4E88-8F6F-98F2E096F112}" keepAlive="1" name="Connection37" type="5" refreshedVersion="8" background="1" saveData="1">
    <dbPr connection="Provider=Microsoft.Mashup.OleDb.1;Data Source=$Workbook$;Location=Timeline 1" command="SELECT * FROM [Timeline 1]" commandType="4"/>
  </connection>
  <connection id="33" xr16:uid="{D67CF898-C618-43F5-AC65-30D46F6278C5}" keepAlive="1" name="Connection38" type="5" refreshedVersion="8" saveData="1">
    <dbPr connection="Provider=Microsoft.Mashup.OleDb.1;Data Source=$Workbook$;Location=Timeline 1" command="SELECT * FROM [Timeline 1]" commandType="4"/>
  </connection>
  <connection id="34" xr16:uid="{CC0F47EB-21D0-4FBD-98E4-5EC8EDA9156F}" keepAlive="1" name="Connection39" type="5" refreshedVersion="8" saveData="1">
    <dbPr connection="Provider=Microsoft.Mashup.OleDb.1;Data Source=$Workbook$;Location=Timeline 1" command="SELECT * FROM [Timeline 1]" commandType="4"/>
  </connection>
  <connection id="35" xr16:uid="{061F5C94-C049-425E-862C-0524E48E9B88}" keepAlive="1" name="Connection4" type="5" refreshedVersion="0" background="1">
    <dbPr connection="Provider=Microsoft.Mashup.OleDb.1;Data Source=$Workbook$;Location=Timeline 1" commandType="0"/>
  </connection>
  <connection id="36" xr16:uid="{56D959F8-0643-4748-B831-64FCA139EA09}" keepAlive="1" name="Connection40" type="5" refreshedVersion="0" saveData="1">
    <dbPr connection="Provider=Microsoft.Mashup.OleDb.1;Data Source=$Workbook$;Location=Timeline 1" command="SELECT * FROM [Timeline 1]" commandType="4"/>
  </connection>
  <connection id="37" xr16:uid="{AAF54112-BA8E-4D6A-A739-E94A1C0701BF}" keepAlive="1" name="Connection41" type="5" refreshedVersion="0" saveData="1">
    <dbPr connection="Provider=Microsoft.Mashup.OleDb.1;Data Source=$Workbook$;Location=Timeline 1" command="SELECT * FROM [Timeline 1]" commandType="4"/>
  </connection>
  <connection id="38" xr16:uid="{70BD536C-2B45-4879-A944-FED6FF9A5B57}" keepAlive="1" name="Connection42" type="5" refreshedVersion="0" background="1" saveData="1">
    <dbPr connection="Provider=Microsoft.Mashup.OleDb.1;Data Source=$Workbook$;Location=Timeline 1" command="SELECT * FROM [Timeline 1]" commandType="4"/>
  </connection>
  <connection id="39" xr16:uid="{F10B34B5-DEE4-41E3-911B-C278F164666B}" keepAlive="1" name="Connection43" type="5" refreshedVersion="0" saveData="1">
    <dbPr connection="Provider=Microsoft.Mashup.OleDb.1;Data Source=$Workbook$;Location=Timeline 1" command="SELECT * FROM [Timeline 1]" commandType="4"/>
  </connection>
  <connection id="40" xr16:uid="{36A8B52E-D410-4EF2-A761-82BFCB5AABB0}" keepAlive="1" name="Connection44" type="5" refreshedVersion="0" saveData="1">
    <dbPr connection="Provider=Microsoft.Mashup.OleDb.1;Data Source=$Workbook$;Location=Timeline 1" command="SELECT * FROM [Timeline 1]" commandType="4"/>
  </connection>
  <connection id="41" xr16:uid="{BDFEF293-06E9-4EB6-9A82-63C147F495A0}" keepAlive="1" name="Connection45" type="5" refreshedVersion="8" saveData="1">
    <dbPr connection="Provider=Microsoft.Mashup.OleDb.1;Data Source=$Workbook$;Location=Timeline 1" command="SELECT * FROM [Timeline 1]" commandType="4"/>
  </connection>
  <connection id="42" xr16:uid="{D6B3A4F8-D545-4C7B-A272-775FF2E88894}" keepAlive="1" name="Connection46" type="5" refreshedVersion="8" background="1" saveData="1">
    <dbPr connection="Provider=Microsoft.Mashup.OleDb.1;Data Source=$Workbook$;Location=Timeline 1" command="SELECT * FROM [Timeline 1]" commandType="4"/>
  </connection>
  <connection id="43" xr16:uid="{8432F87B-5F27-4E34-8D03-83C80CD694AC}" keepAlive="1" name="Connection5" type="5" refreshedVersion="0" background="1" saveData="1">
    <dbPr connection="Provider=Microsoft.Mashup.OleDb.1;Data Source=$Workbook$;Location=&quot;Timeline 1&quot;;Extended Properties=&quot;&quot;" command="SELECT * FROM [Timeline 1]" commandType="4"/>
  </connection>
  <connection id="44" xr16:uid="{508BF8CF-EF4F-46E8-8A9C-14C431527452}" keepAlive="1" name="Connection6" type="5" refreshedVersion="0" background="1">
    <dbPr connection="Provider=Microsoft.Mashup.OleDb.1;Data Source=$Workbook$;Location=Timeline 1" commandType="0"/>
  </connection>
  <connection id="45" xr16:uid="{20D50365-1654-4BFD-AF8A-249C6C1305E1}" keepAlive="1" name="Connection7" type="5" refreshedVersion="0" background="1" saveData="1">
    <dbPr connection="Provider=Microsoft.Mashup.OleDb.1;Data Source=$Workbook$;Location=&quot;Timeline 1&quot;;Extended Properties=&quot;&quot;" command="SELECT * FROM [Timeline 1]" commandType="4"/>
  </connection>
  <connection id="46" xr16:uid="{52EC18C5-F477-4634-A497-63436F133650}" keepAlive="1" name="Connection8" type="5" refreshedVersion="0" background="1">
    <dbPr connection="Provider=Microsoft.Mashup.OleDb.1;Data Source=$Workbook$;Location=Timeline 1" commandType="0"/>
  </connection>
  <connection id="47" xr16:uid="{0E804F0A-C967-42B5-BF34-F66953CB94A9}" keepAlive="1" name="Connection9" type="5" refreshedVersion="0" background="1">
    <dbPr connection="Provider=Microsoft.Mashup.OleDb.1;Data Source=$Workbook$;Location=Timeline 1" commandType="0"/>
  </connection>
  <connection id="48" xr16:uid="{4E2B306A-6201-4892-BD06-A4E2DA9ECAF1}" keepAlive="1" name="Query - Timeline 1" description="Connection to the 'Timeline 1' query in the workbook." type="5" refreshedVersion="8" background="1" saveData="1">
    <dbPr connection="Provider=Microsoft.Mashup.OleDb.1;Data Source=$Workbook$;Location=&quot;Timeline 1&quot;;Extended Properties=&quot;&quot;" command="SELECT * FROM [Timeline 1]"/>
  </connection>
</connections>
</file>

<file path=xl/sharedStrings.xml><?xml version="1.0" encoding="utf-8"?>
<sst xmlns="http://schemas.openxmlformats.org/spreadsheetml/2006/main" count="190" uniqueCount="149">
  <si>
    <t>H</t>
  </si>
  <si>
    <t>M</t>
  </si>
  <si>
    <t>S</t>
  </si>
  <si>
    <t>Title</t>
  </si>
  <si>
    <t>Seconds</t>
  </si>
  <si>
    <t>YouTube URL</t>
  </si>
  <si>
    <t>One Line Description</t>
  </si>
  <si>
    <t>Fixed Text for YouTube Description</t>
  </si>
  <si>
    <t xml:space="preserve">Output for MERG WiKi </t>
  </si>
  <si>
    <t>Output for YouTube</t>
  </si>
  <si>
    <t>Fixed Text for MERG Description</t>
  </si>
  <si>
    <t>Press 'Show More' to review the timeline and jump to a specific chapter.
Timeline:</t>
  </si>
  <si>
    <t>&lt;WRAP box&gt;</t>
  </si>
  <si>
    <t>&lt;WRAP column&gt;</t>
  </si>
  <si>
    <t>&lt;WRAP column half&gt;</t>
  </si>
  <si>
    <t>Video Title</t>
  </si>
  <si>
    <t>&lt;/WRAP&gt;</t>
  </si>
  <si>
    <t>EDIT This Section</t>
  </si>
  <si>
    <t>https://youtu.be/_K-W8S6AVDE</t>
  </si>
  <si>
    <t>Timeline</t>
  </si>
  <si>
    <t>Do Not Change the Grey Boxes</t>
  </si>
  <si>
    <t>Note:</t>
  </si>
  <si>
    <t>\\</t>
  </si>
  <si>
    <t>----</t>
  </si>
  <si>
    <t>Main Box Title</t>
  </si>
  <si>
    <t>Date</t>
  </si>
  <si>
    <t>Description (On one line)</t>
  </si>
  <si>
    <t>Long Description (Multi Line OK)</t>
  </si>
  <si>
    <t>{Video Title}</t>
  </si>
  <si>
    <t>{Date of Zoom Call or When Published}</t>
  </si>
  <si>
    <t>{Box Title Goes Here}</t>
  </si>
  <si>
    <t xml:space="preserve">A filled in example is included in this workbook (SIGSample) so you can compare your work to it. </t>
  </si>
  <si>
    <t>When the text from the MERG output is pasted into the MERG WikiPAge (Knowledgebase) the output is as shown below:</t>
  </si>
  <si>
    <r>
      <t xml:space="preserve">When the text from this example is pasted tinto the YouTube Studio "Description Box" the output is this             </t>
    </r>
    <r>
      <rPr>
        <b/>
        <sz val="14"/>
        <color theme="1"/>
        <rFont val="Calibri"/>
        <family val="2"/>
        <scheme val="minor"/>
      </rPr>
      <t>==&gt;&gt;</t>
    </r>
  </si>
  <si>
    <t>YouTube_URL Goes Here</t>
  </si>
  <si>
    <t>Rev</t>
  </si>
  <si>
    <t>What</t>
  </si>
  <si>
    <t xml:space="preserve">By </t>
  </si>
  <si>
    <t>When</t>
  </si>
  <si>
    <t>Alan Lomax</t>
  </si>
  <si>
    <t>First Version for Testing</t>
  </si>
  <si>
    <t>Comments</t>
  </si>
  <si>
    <t>After my testing sent to Martin Decosta for cold eyes review.</t>
  </si>
  <si>
    <t>Current Revision</t>
  </si>
  <si>
    <r>
      <t xml:space="preserve">This worksheet uses Macros to copy the template sheet and to process text strings. 
</t>
    </r>
    <r>
      <rPr>
        <b/>
        <sz val="14"/>
        <color rgb="FFC00000"/>
        <rFont val="Calibri"/>
        <family val="2"/>
        <scheme val="minor"/>
      </rPr>
      <t>To use it you will need to enable Macros for it to work properly</t>
    </r>
    <r>
      <rPr>
        <sz val="14"/>
        <color rgb="FFC00000"/>
        <rFont val="Calibri"/>
        <family val="2"/>
        <scheme val="minor"/>
      </rPr>
      <t>.</t>
    </r>
  </si>
  <si>
    <r>
      <rPr>
        <b/>
        <sz val="14"/>
        <color theme="1"/>
        <rFont val="Calibri"/>
        <family val="2"/>
        <scheme val="minor"/>
      </rPr>
      <t xml:space="preserve">What this worksheet does: </t>
    </r>
    <r>
      <rPr>
        <sz val="14"/>
        <color theme="1"/>
        <rFont val="Calibri"/>
        <family val="2"/>
        <scheme val="minor"/>
      </rPr>
      <t>After creating a Youtube Video for MERG it is desirable to modify the the WiKi (Knowledgebase) to include a reference to the YouTube Video. This worksheet automatically creates two code snippets - one for pasting into the YouTube description and one for pasting into the MERG WiKi / Knowledgebase. By utilizing an EDL file (exported from DaVinci Resolve for example) it will automatically generate appropriate chapter markings. Besides improving consistency it eliminates a lot of manual editing and streamlines the workflow.</t>
    </r>
  </si>
  <si>
    <t>Click Here to Return to Instructions</t>
  </si>
  <si>
    <r>
      <t xml:space="preserve">Minor improvements include: 
</t>
    </r>
    <r>
      <rPr>
        <sz val="11"/>
        <color theme="9" tint="-0.249977111117893"/>
        <rFont val="Calibri"/>
        <family val="2"/>
        <scheme val="minor"/>
      </rPr>
      <t>Revision Control with Hyperlinks for jumping around.
Additional logical tests to remove duplcate messages.</t>
    </r>
  </si>
  <si>
    <t>Video Length (Minutes)</t>
  </si>
  <si>
    <t>Long Description here. Use \\ as EOL marker to force a new line on Wiki.</t>
  </si>
  <si>
    <t>Alan Lomax presents a short video while testing audio levels.</t>
  </si>
  <si>
    <t>In this video Alan Lomax introduces utilizes his new recording studio (Which was purpose built to rival Abbey Road) .</t>
  </si>
  <si>
    <t>Test Code Generator</t>
  </si>
  <si>
    <t>Might have been a Zoom Meeting 29th February 2023</t>
  </si>
  <si>
    <t>Random Bits and Bobs</t>
  </si>
  <si>
    <t>Number</t>
  </si>
  <si>
    <t>Chapter</t>
  </si>
  <si>
    <t>Start Hr</t>
  </si>
  <si>
    <t>Start Min</t>
  </si>
  <si>
    <t>Start Sec</t>
  </si>
  <si>
    <t>Start mSec</t>
  </si>
  <si>
    <t>End Hr</t>
  </si>
  <si>
    <t>End Min</t>
  </si>
  <si>
    <t>End Sec</t>
  </si>
  <si>
    <t>End mSec</t>
  </si>
  <si>
    <t>Path To EDL File</t>
  </si>
  <si>
    <t>001</t>
  </si>
  <si>
    <t>Start</t>
  </si>
  <si>
    <t>002</t>
  </si>
  <si>
    <t>Topics</t>
  </si>
  <si>
    <t>003</t>
  </si>
  <si>
    <t>What is RFID?</t>
  </si>
  <si>
    <t>004</t>
  </si>
  <si>
    <t>RFID Vocabulary</t>
  </si>
  <si>
    <t>005</t>
  </si>
  <si>
    <t>Vocabulary Summary  in Pictures</t>
  </si>
  <si>
    <t>006</t>
  </si>
  <si>
    <t>RFID Standards</t>
  </si>
  <si>
    <t>007</t>
  </si>
  <si>
    <t>Choice of Frequency</t>
  </si>
  <si>
    <t>008</t>
  </si>
  <si>
    <t>Q&amp;A Intermission</t>
  </si>
  <si>
    <t>PowerScript Below - Do NOT modify.</t>
  </si>
  <si>
    <t>009</t>
  </si>
  <si>
    <t>Example: RF Field Strength Tester</t>
  </si>
  <si>
    <t>010</t>
  </si>
  <si>
    <t>Part 2 - RFID Usage Cases</t>
  </si>
  <si>
    <t>011</t>
  </si>
  <si>
    <t>Multiple Data Consumers</t>
  </si>
  <si>
    <t xml:space="preserve">    #"Removed Top Rows" = Table.Skip(Source,3),</t>
  </si>
  <si>
    <t>012</t>
  </si>
  <si>
    <t>Summary and Wrap Up</t>
  </si>
  <si>
    <t xml:space="preserve">    #"Filtered Rows" = Table.SelectRows(#"Removed Top Rows", each [Column1] &lt;&gt; ""),</t>
  </si>
  <si>
    <t xml:space="preserve">    #"Added Index" = Table.AddIndexColumn(#"Filtered Rows", "Index", 1, 1, Int64.Type),</t>
  </si>
  <si>
    <t xml:space="preserve">    #"Added Custom" = Table.AddColumn(#"Added Index", "NewIndex", each if Number.Mod([Index],2)=0 then null else [Index]),</t>
  </si>
  <si>
    <t xml:space="preserve">    #"Filled Down" = Table.FillDown(#"Added Custom",{"NewIndex"}),</t>
  </si>
  <si>
    <t xml:space="preserve">    #"Removed Columns" = Table.RemoveColumns(#"Filled Down",{"Index"}),</t>
  </si>
  <si>
    <t xml:space="preserve">    #"Grouped Rows" = Table.Group(#"Removed Columns", {"NewIndex"}, {{"Output", each Text.Combine([Column1],"~")}}),</t>
  </si>
  <si>
    <t xml:space="preserve">    #"Removed Columns1" = Table.RemoveColumns(#"Grouped Rows",{"NewIndex"}),</t>
  </si>
  <si>
    <t xml:space="preserve">    #"Split Column by Delimiter" = Table.SplitColumn(#"Removed Columns1", "Output", Splitter.SplitTextByEachDelimiter({" "}, QuoteStyle.Csv, true), {"Output.1", "Output.2"}),</t>
  </si>
  <si>
    <t xml:space="preserve">    #"Changed Type" = Table.TransformColumnTypes(#"Split Column by Delimiter",{{"Output.1", type text}, {"Output.2", type text}}),</t>
  </si>
  <si>
    <t xml:space="preserve">    #"Removed Columns2" = Table.RemoveColumns(#"Changed Type",{"Output.2"}),</t>
  </si>
  <si>
    <t xml:space="preserve">    #"Split Column by Delimiter1" = Table.SplitColumn(#"Removed Columns2", "Output.1", Splitter.SplitTextByEachDelimiter({"|M:"}, QuoteStyle.Csv, true), {"Output.1.1", "Output.1.2"}),</t>
  </si>
  <si>
    <t xml:space="preserve">    #"Changed Type1" = Table.TransformColumnTypes(#"Split Column by Delimiter1",{{"Output.1.1", type text}, {"Output.1.2", type text}}),</t>
  </si>
  <si>
    <t xml:space="preserve">    #"Split Column by Delimiter2" = Table.SplitColumn(#"Changed Type1", "Output.1.1", Splitter.SplitTextByEachDelimiter({"~"}, QuoteStyle.Csv, true), {"Output.1.1.1", "Output.1.1.2"}),</t>
  </si>
  <si>
    <t xml:space="preserve">    #"Changed Type2" = Table.TransformColumnTypes(#"Split Column by Delimiter2",{{"Output.1.1.1", type text}, {"Output.1.1.2", type text}}),</t>
  </si>
  <si>
    <t xml:space="preserve">    #"Removed Columns3" = Table.RemoveColumns(#"Changed Type2",{"Output.1.1.2"}),</t>
  </si>
  <si>
    <t xml:space="preserve">    #"Renamed Columns" = Table.RenameColumns(#"Removed Columns3",{{"Output.1.2", "Chapter"}}),</t>
  </si>
  <si>
    <t xml:space="preserve">    #"Inserted Text Between Delimiters" = Table.AddColumn(#"Renamed Columns", "End TimeCode", each Text.BetweenDelimiters([Output.1.1.1], " ", " ", {2, RelativePosition.FromEnd}, 0), type text),</t>
  </si>
  <si>
    <t xml:space="preserve">    #"Inserted Text Between Delimiters1" = Table.AddColumn(#"Inserted Text Between Delimiters", "Text Between Delimiters", each Text.BetweenDelimiters([Output.1.1.1], " ", " ", {3, RelativePosition.FromEnd}, 0), type text),</t>
  </si>
  <si>
    <t xml:space="preserve">    #"Renamed Columns1" = Table.RenameColumns(#"Inserted Text Between Delimiters1",{{"Text Between Delimiters", "Start TimeCode"}}),</t>
  </si>
  <si>
    <t xml:space="preserve">    #"Reordered Columns" = Table.ReorderColumns(#"Renamed Columns1",{"Output.1.1.1", "Chapter", "Start TimeCode", "End TimeCode"}),</t>
  </si>
  <si>
    <t xml:space="preserve">    #"Inserted Text Before Delimiter" = Table.AddColumn(#"Reordered Columns", "Number", each Text.BeforeDelimiter([Output.1.1.1], " "), type text),</t>
  </si>
  <si>
    <t xml:space="preserve">    #"Reordered Columns1" = Table.ReorderColumns(#"Inserted Text Before Delimiter",{"Output.1.1.1", "Number", "Chapter", "Start TimeCode", "End TimeCode"}),</t>
  </si>
  <si>
    <t xml:space="preserve">    #"Removed Columns4" = Table.RemoveColumns(#"Reordered Columns1",{"Output.1.1.1"}),</t>
  </si>
  <si>
    <t xml:space="preserve">    #"Split Column by Delimiter3" = Table.SplitColumn(#"Removed Columns4", "Start TimeCode", Splitter.SplitTextByDelimiter(":", QuoteStyle.Csv), {"Start TimeCode.1", "Start TimeCode.2", "Start TimeCode.3", "Start TimeCode.4"}),</t>
  </si>
  <si>
    <t xml:space="preserve">    #"Changed Type3" = Table.TransformColumnTypes(#"Split Column by Delimiter3",{{"Start TimeCode.1", Int64.Type}, {"Start TimeCode.2", Int64.Type}, {"Start TimeCode.3", Int64.Type}, {"Start TimeCode.4", Int64.Type}}),</t>
  </si>
  <si>
    <t xml:space="preserve">    #"Renamed Columns2" = Table.RenameColumns(#"Changed Type3",{{"Start TimeCode.1", "Start Hr"}, {"Start TimeCode.2", "Start Min"}, {"Start TimeCode.3", "Start Sec"}, {"Start TimeCode.4", "Start mSec"}}),</t>
  </si>
  <si>
    <t xml:space="preserve">    #"Split Column by Delimiter4" = Table.SplitColumn(#"Renamed Columns2", "End TimeCode", Splitter.SplitTextByDelimiter(":", QuoteStyle.Csv), {"End TimeCode.1", "End TimeCode.2", "End TimeCode.3", "End TimeCode.4"}),</t>
  </si>
  <si>
    <t xml:space="preserve">    #"Changed Type4" = Table.TransformColumnTypes(#"Split Column by Delimiter4",{{"End TimeCode.1", Int64.Type}, {"End TimeCode.2", Int64.Type}, {"End TimeCode.3", Int64.Type}, {"End TimeCode.4", Int64.Type}}),</t>
  </si>
  <si>
    <t xml:space="preserve">    #"Renamed Columns3" = Table.RenameColumns(#"Changed Type4",{{"End TimeCode.1", "End Hr"}, {"End TimeCode.2", "End Min"}, {"End TimeCode.3", "End Sec"}, {"End TimeCode.4", "End mSec"}}),</t>
  </si>
  <si>
    <t xml:space="preserve">    #"Inserted Subtraction" = Table.AddColumn(#"Renamed Columns3", "Subtraction", each [Start Hr] - 1, type number),</t>
  </si>
  <si>
    <t xml:space="preserve">    #"Reordered Columns2" = Table.ReorderColumns(#"Inserted Subtraction",{"Number", "Chapter", "Start Hr", "Subtraction", "Start Min", "Start Sec", "Start mSec", "End Hr", "End Min", "End Sec", "End mSec"}),</t>
  </si>
  <si>
    <t xml:space="preserve">    #"Removed Columns5" = Table.RemoveColumns(#"Reordered Columns2",{"Start Hr"}),</t>
  </si>
  <si>
    <t xml:space="preserve">    #"Renamed Columns4" = Table.RenameColumns(#"Removed Columns5",{{"Subtraction", "Start Hr"}}),</t>
  </si>
  <si>
    <t xml:space="preserve">    #"Inserted Subtraction1" = Table.AddColumn(#"Renamed Columns4", "Subtraction", each [End Hr] - 1, type number),</t>
  </si>
  <si>
    <t xml:space="preserve">    #"Reordered Columns3" = Table.ReorderColumns(#"Inserted Subtraction1",{"Number", "Chapter", "Start Hr", "Start Min", "Start Sec", "Start mSec", "End Hr", "Subtraction", "End Min", "End Sec", "End mSec"}),</t>
  </si>
  <si>
    <t xml:space="preserve">    #"Removed Columns6" = Table.RemoveColumns(#"Reordered Columns3",{"End Hr"}),</t>
  </si>
  <si>
    <t xml:space="preserve">    #"Renamed Columns5" = Table.RenameColumns(#"Removed Columns6",{{"Subtraction", "End Hr"}})</t>
  </si>
  <si>
    <t>in</t>
  </si>
  <si>
    <t xml:space="preserve">    #"Renamed Columns5"</t>
  </si>
  <si>
    <t>Current Worksheet</t>
  </si>
  <si>
    <t xml:space="preserve">let </t>
  </si>
  <si>
    <t>D:\Timeline 1.edl</t>
  </si>
  <si>
    <t>Lots of fussing getting code to work across multiple worksheets</t>
  </si>
  <si>
    <t>Combined main Excel with the EDL conversion PowerQuery which previously was in a separate worksheet.</t>
  </si>
  <si>
    <t>D:\MERG_Video\SIG_RFID\RFID_02 Introduction and Concepts\Timeline 1.edl</t>
  </si>
  <si>
    <t xml:space="preserve">    Source = Table.FromColumns({Lines.FromBinary(File.Contents("D:\MERG_Video\SIG_RFID\RFID_02 Introduction and Concepts\Timeline 1.edl"), null, null, 1252)}),</t>
  </si>
  <si>
    <r>
      <rPr>
        <b/>
        <sz val="14"/>
        <color theme="1"/>
        <rFont val="Calibri"/>
        <family val="2"/>
        <scheme val="minor"/>
      </rPr>
      <t>In DaVinci Resolve</t>
    </r>
    <r>
      <rPr>
        <sz val="14"/>
        <color theme="1"/>
        <rFont val="Calibri"/>
        <family val="2"/>
        <scheme val="minor"/>
      </rPr>
      <t xml:space="preserve"> - export (from the timeline) an EDL file.</t>
    </r>
  </si>
  <si>
    <t>Prior</t>
  </si>
  <si>
    <t>Enter the other details in the yellow sections.</t>
  </si>
  <si>
    <t>The output text for the YouTube description box is automatically created (copy and paste to YouTube)</t>
  </si>
  <si>
    <r>
      <t xml:space="preserve">For the MERG WiKi page copy and paste </t>
    </r>
    <r>
      <rPr>
        <b/>
        <sz val="14"/>
        <color theme="1"/>
        <rFont val="Calibri"/>
        <family val="2"/>
        <scheme val="minor"/>
      </rPr>
      <t>as plain text</t>
    </r>
    <r>
      <rPr>
        <sz val="14"/>
        <color theme="1"/>
        <rFont val="Calibri"/>
        <family val="2"/>
        <scheme val="minor"/>
      </rPr>
      <t xml:space="preserve"> into the Knowledgebase.</t>
    </r>
  </si>
  <si>
    <t>Save your work. There is no need to delete the working sheets. They can be reused by simply browsing for a new EDL file.</t>
  </si>
  <si>
    <t>Click the button on the right to copy the Template to a new sheet (You will be prompted for a new Sheet name)</t>
  </si>
  <si>
    <r>
      <t xml:space="preserve">On </t>
    </r>
    <r>
      <rPr>
        <b/>
        <sz val="14"/>
        <color theme="1"/>
        <rFont val="Calibri"/>
        <family val="2"/>
        <scheme val="minor"/>
      </rPr>
      <t>the new sheet</t>
    </r>
    <r>
      <rPr>
        <sz val="14"/>
        <color theme="1"/>
        <rFont val="Calibri"/>
        <family val="2"/>
        <scheme val="minor"/>
      </rPr>
      <t xml:space="preserve"> click the button to browse for the EDL file and select it..</t>
    </r>
  </si>
  <si>
    <t>Sub UnlockAllSheets does not work as it should.</t>
  </si>
  <si>
    <t>Supress Error messages on blank rows.
Attempts to: Lock sheets to prevent inadvertent change.
This also prevented code from running.  (Decided not worh effort)</t>
  </si>
  <si>
    <t>Feedback from Martin Decosta and minor improvements.
Instructions: Add warning Re Macros
Template - Revise Formulae (Case for Videos less than 1 hour)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</si>
</sst>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1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D0D0D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10"/>
      <name val="Tahoma"/>
      <family val="2"/>
    </font>
    <font>
      <sz val="12"/>
      <color rgb="FFFF00FF"/>
      <name val="Calibri"/>
      <family val="2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4"/>
      <color rgb="FFC0000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u/>
      <sz val="18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theme="0" tint="-0.249977111117893"/>
      </right>
      <top style="medium">
        <color theme="1"/>
      </top>
      <bottom style="medium">
        <color theme="1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theme="1"/>
      </top>
      <bottom style="medium">
        <color theme="1"/>
      </bottom>
      <diagonal/>
    </border>
    <border>
      <left style="thin">
        <color theme="0" tint="-0.249977111117893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theme="0" tint="-0.249977111117893"/>
      </right>
      <top style="medium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1"/>
      </right>
      <top style="medium">
        <color theme="1"/>
      </top>
      <bottom style="thin">
        <color theme="0" tint="-0.249977111117893"/>
      </bottom>
      <diagonal/>
    </border>
    <border>
      <left style="medium">
        <color theme="1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1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1"/>
      </left>
      <right style="thin">
        <color theme="0" tint="-0.249977111117893"/>
      </right>
      <top style="thin">
        <color theme="0" tint="-0.249977111117893"/>
      </top>
      <bottom style="medium">
        <color theme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1"/>
      </bottom>
      <diagonal/>
    </border>
    <border>
      <left style="thin">
        <color theme="0" tint="-0.249977111117893"/>
      </left>
      <right style="medium">
        <color theme="1"/>
      </right>
      <top style="thin">
        <color theme="0" tint="-0.249977111117893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15">
    <xf numFmtId="0" fontId="0" fillId="0" borderId="0" xfId="0"/>
    <xf numFmtId="0" fontId="0" fillId="0" borderId="0" xfId="0" applyAlignment="1">
      <alignment horizontal="center"/>
    </xf>
    <xf numFmtId="0" fontId="8" fillId="0" borderId="0" xfId="0" applyFont="1"/>
    <xf numFmtId="0" fontId="0" fillId="2" borderId="1" xfId="0" applyFill="1" applyBorder="1" applyAlignment="1">
      <alignment horizontal="right" vertical="center"/>
    </xf>
    <xf numFmtId="0" fontId="2" fillId="2" borderId="2" xfId="0" applyFont="1" applyFill="1" applyBorder="1" applyAlignment="1">
      <alignment horizontal="right" wrapText="1"/>
    </xf>
    <xf numFmtId="0" fontId="2" fillId="2" borderId="5" xfId="0" applyFont="1" applyFill="1" applyBorder="1" applyAlignment="1">
      <alignment horizontal="right" wrapText="1"/>
    </xf>
    <xf numFmtId="0" fontId="8" fillId="2" borderId="5" xfId="0" applyFont="1" applyFill="1" applyBorder="1" applyAlignment="1">
      <alignment horizontal="center"/>
    </xf>
    <xf numFmtId="0" fontId="0" fillId="0" borderId="8" xfId="0" applyBorder="1"/>
    <xf numFmtId="0" fontId="8" fillId="2" borderId="6" xfId="0" applyFont="1" applyFill="1" applyBorder="1" applyAlignment="1">
      <alignment horizontal="center"/>
    </xf>
    <xf numFmtId="0" fontId="8" fillId="0" borderId="14" xfId="0" applyFont="1" applyBorder="1"/>
    <xf numFmtId="0" fontId="0" fillId="0" borderId="14" xfId="0" applyBorder="1"/>
    <xf numFmtId="0" fontId="0" fillId="0" borderId="9" xfId="0" applyBorder="1"/>
    <xf numFmtId="0" fontId="8" fillId="2" borderId="5" xfId="0" applyFont="1" applyFill="1" applyBorder="1" applyAlignment="1">
      <alignment horizontal="center" vertical="center"/>
    </xf>
    <xf numFmtId="0" fontId="7" fillId="11" borderId="10" xfId="0" applyFont="1" applyFill="1" applyBorder="1"/>
    <xf numFmtId="0" fontId="0" fillId="0" borderId="0" xfId="0" applyAlignment="1">
      <alignment horizontal="center" vertical="center"/>
    </xf>
    <xf numFmtId="0" fontId="0" fillId="3" borderId="0" xfId="0" applyFill="1"/>
    <xf numFmtId="0" fontId="12" fillId="3" borderId="0" xfId="0" applyFont="1" applyFill="1" applyAlignment="1">
      <alignment horizontal="center" vertical="center"/>
    </xf>
    <xf numFmtId="0" fontId="12" fillId="3" borderId="0" xfId="0" applyFont="1" applyFill="1"/>
    <xf numFmtId="0" fontId="0" fillId="0" borderId="15" xfId="0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18" xfId="0" applyFill="1" applyBorder="1"/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0" borderId="20" xfId="0" applyBorder="1" applyAlignment="1">
      <alignment horizontal="center" vertical="center"/>
    </xf>
    <xf numFmtId="0" fontId="0" fillId="0" borderId="21" xfId="0" applyBorder="1"/>
    <xf numFmtId="15" fontId="0" fillId="0" borderId="21" xfId="0" applyNumberFormat="1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/>
    <xf numFmtId="0" fontId="0" fillId="0" borderId="26" xfId="0" applyBorder="1" applyAlignment="1">
      <alignment horizontal="center"/>
    </xf>
    <xf numFmtId="0" fontId="0" fillId="0" borderId="27" xfId="0" applyBorder="1"/>
    <xf numFmtId="0" fontId="0" fillId="0" borderId="15" xfId="0" applyBorder="1" applyAlignment="1">
      <alignment vertical="center" wrapText="1"/>
    </xf>
    <xf numFmtId="0" fontId="0" fillId="0" borderId="15" xfId="0" applyBorder="1" applyAlignment="1">
      <alignment vertical="center"/>
    </xf>
    <xf numFmtId="0" fontId="0" fillId="0" borderId="24" xfId="0" applyBorder="1" applyAlignment="1">
      <alignment horizontal="left" vertical="center"/>
    </xf>
    <xf numFmtId="0" fontId="0" fillId="0" borderId="22" xfId="0" applyBorder="1" applyAlignment="1">
      <alignment horizontal="left"/>
    </xf>
    <xf numFmtId="14" fontId="0" fillId="0" borderId="15" xfId="0" applyNumberFormat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10" fillId="3" borderId="0" xfId="1" applyFill="1"/>
    <xf numFmtId="0" fontId="0" fillId="0" borderId="24" xfId="0" applyBorder="1" applyAlignment="1">
      <alignment horizontal="left" vertical="center" wrapText="1"/>
    </xf>
    <xf numFmtId="0" fontId="16" fillId="2" borderId="16" xfId="1" applyFont="1" applyFill="1" applyBorder="1" applyAlignment="1">
      <alignment horizontal="center" vertical="center"/>
    </xf>
    <xf numFmtId="0" fontId="9" fillId="2" borderId="6" xfId="0" applyFont="1" applyFill="1" applyBorder="1"/>
    <xf numFmtId="0" fontId="0" fillId="9" borderId="7" xfId="0" applyFill="1" applyBorder="1"/>
    <xf numFmtId="0" fontId="0" fillId="8" borderId="16" xfId="0" applyFill="1" applyBorder="1"/>
    <xf numFmtId="0" fontId="0" fillId="12" borderId="10" xfId="0" applyFill="1" applyBorder="1"/>
    <xf numFmtId="0" fontId="7" fillId="2" borderId="16" xfId="0" applyFont="1" applyFill="1" applyBorder="1" applyAlignment="1">
      <alignment horizontal="center"/>
    </xf>
    <xf numFmtId="0" fontId="0" fillId="6" borderId="0" xfId="0" applyFill="1" applyAlignment="1">
      <alignment horizontal="right" vertical="center"/>
    </xf>
    <xf numFmtId="0" fontId="2" fillId="5" borderId="0" xfId="0" applyFont="1" applyFill="1" applyAlignment="1">
      <alignment horizontal="left" wrapText="1"/>
    </xf>
    <xf numFmtId="0" fontId="2" fillId="5" borderId="8" xfId="0" applyFont="1" applyFill="1" applyBorder="1" applyAlignment="1">
      <alignment horizontal="left" wrapText="1"/>
    </xf>
    <xf numFmtId="0" fontId="0" fillId="5" borderId="5" xfId="0" applyFill="1" applyBorder="1"/>
    <xf numFmtId="0" fontId="0" fillId="5" borderId="0" xfId="0" applyFill="1"/>
    <xf numFmtId="0" fontId="0" fillId="5" borderId="8" xfId="0" applyFill="1" applyBorder="1"/>
    <xf numFmtId="0" fontId="0" fillId="5" borderId="5" xfId="0" applyFill="1" applyBorder="1" applyAlignment="1">
      <alignment horizontal="left"/>
    </xf>
    <xf numFmtId="0" fontId="0" fillId="5" borderId="5" xfId="0" quotePrefix="1" applyFill="1" applyBorder="1" applyAlignment="1">
      <alignment horizontal="left"/>
    </xf>
    <xf numFmtId="0" fontId="0" fillId="5" borderId="0" xfId="0" applyFill="1" applyAlignment="1">
      <alignment horizontal="left"/>
    </xf>
    <xf numFmtId="0" fontId="0" fillId="5" borderId="8" xfId="0" applyFill="1" applyBorder="1" applyAlignment="1">
      <alignment horizontal="left"/>
    </xf>
    <xf numFmtId="0" fontId="0" fillId="5" borderId="4" xfId="0" applyFill="1" applyBorder="1"/>
    <xf numFmtId="164" fontId="0" fillId="5" borderId="13" xfId="0" applyNumberForma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7" xfId="0" applyFill="1" applyBorder="1" applyAlignment="1">
      <alignment horizontal="left"/>
    </xf>
    <xf numFmtId="0" fontId="0" fillId="5" borderId="6" xfId="0" applyFill="1" applyBorder="1"/>
    <xf numFmtId="164" fontId="0" fillId="5" borderId="14" xfId="0" applyNumberFormat="1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0" fillId="5" borderId="9" xfId="0" applyFill="1" applyBorder="1" applyAlignment="1">
      <alignment horizontal="left"/>
    </xf>
    <xf numFmtId="0" fontId="1" fillId="10" borderId="2" xfId="0" applyFont="1" applyFill="1" applyBorder="1" applyAlignment="1" applyProtection="1">
      <alignment vertical="center"/>
      <protection locked="0"/>
    </xf>
    <xf numFmtId="0" fontId="1" fillId="10" borderId="2" xfId="0" quotePrefix="1" applyFont="1" applyFill="1" applyBorder="1" applyProtection="1">
      <protection locked="0"/>
    </xf>
    <xf numFmtId="0" fontId="1" fillId="10" borderId="2" xfId="0" quotePrefix="1" applyFont="1" applyFill="1" applyBorder="1" applyAlignment="1" applyProtection="1">
      <alignment horizontal="left"/>
      <protection locked="0"/>
    </xf>
    <xf numFmtId="0" fontId="1" fillId="10" borderId="2" xfId="0" applyFont="1" applyFill="1" applyBorder="1" applyAlignment="1" applyProtection="1">
      <alignment vertical="center" wrapText="1"/>
      <protection locked="0"/>
    </xf>
    <xf numFmtId="0" fontId="0" fillId="10" borderId="2" xfId="0" applyFill="1" applyBorder="1" applyProtection="1">
      <protection locked="0"/>
    </xf>
    <xf numFmtId="0" fontId="0" fillId="10" borderId="3" xfId="0" applyFill="1" applyBorder="1" applyProtection="1">
      <protection locked="0"/>
    </xf>
    <xf numFmtId="0" fontId="0" fillId="6" borderId="5" xfId="0" applyFill="1" applyBorder="1"/>
    <xf numFmtId="0" fontId="0" fillId="6" borderId="0" xfId="0" applyFill="1" applyAlignment="1">
      <alignment horizontal="center"/>
    </xf>
    <xf numFmtId="0" fontId="0" fillId="6" borderId="8" xfId="0" applyFill="1" applyBorder="1" applyAlignment="1">
      <alignment horizontal="center"/>
    </xf>
    <xf numFmtId="0" fontId="0" fillId="0" borderId="0" xfId="0" applyProtection="1">
      <protection locked="0"/>
    </xf>
    <xf numFmtId="0" fontId="0" fillId="2" borderId="0" xfId="0" applyFill="1"/>
    <xf numFmtId="0" fontId="0" fillId="0" borderId="31" xfId="0" applyBorder="1" applyAlignment="1" applyProtection="1">
      <alignment vertical="center"/>
      <protection locked="0"/>
    </xf>
    <xf numFmtId="0" fontId="0" fillId="6" borderId="0" xfId="0" applyFill="1"/>
    <xf numFmtId="0" fontId="0" fillId="5" borderId="0" xfId="0" applyFill="1" applyProtection="1">
      <protection locked="0"/>
    </xf>
    <xf numFmtId="0" fontId="1" fillId="10" borderId="31" xfId="0" quotePrefix="1" applyFont="1" applyFill="1" applyBorder="1" applyProtection="1">
      <protection locked="0"/>
    </xf>
    <xf numFmtId="164" fontId="0" fillId="5" borderId="0" xfId="0" applyNumberFormat="1" applyFill="1" applyAlignment="1">
      <alignment horizontal="center"/>
    </xf>
    <xf numFmtId="0" fontId="0" fillId="5" borderId="0" xfId="0" applyFill="1" applyAlignment="1">
      <alignment horizontal="center"/>
    </xf>
    <xf numFmtId="0" fontId="0" fillId="3" borderId="5" xfId="0" applyFill="1" applyBorder="1"/>
    <xf numFmtId="0" fontId="0" fillId="7" borderId="4" xfId="0" applyFill="1" applyBorder="1" applyAlignment="1">
      <alignment horizontal="left"/>
    </xf>
    <xf numFmtId="0" fontId="0" fillId="3" borderId="5" xfId="0" applyFill="1" applyBorder="1" applyAlignment="1">
      <alignment wrapText="1"/>
    </xf>
    <xf numFmtId="0" fontId="0" fillId="7" borderId="5" xfId="0" applyFill="1" applyBorder="1" applyAlignment="1">
      <alignment horizontal="left"/>
    </xf>
    <xf numFmtId="0" fontId="0" fillId="7" borderId="5" xfId="0" applyFill="1" applyBorder="1" applyAlignment="1">
      <alignment vertical="top" wrapText="1"/>
    </xf>
    <xf numFmtId="0" fontId="0" fillId="7" borderId="2" xfId="0" applyFill="1" applyBorder="1"/>
    <xf numFmtId="0" fontId="0" fillId="3" borderId="6" xfId="0" applyFill="1" applyBorder="1"/>
    <xf numFmtId="0" fontId="0" fillId="7" borderId="2" xfId="0" applyFill="1" applyBorder="1" applyAlignment="1">
      <alignment horizontal="left"/>
    </xf>
    <xf numFmtId="0" fontId="0" fillId="7" borderId="2" xfId="0" applyFill="1" applyBorder="1" applyAlignment="1">
      <alignment horizontal="left" wrapText="1"/>
    </xf>
    <xf numFmtId="0" fontId="0" fillId="7" borderId="3" xfId="0" quotePrefix="1" applyFill="1" applyBorder="1" applyAlignment="1">
      <alignment horizontal="left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vertical="center"/>
    </xf>
    <xf numFmtId="0" fontId="0" fillId="0" borderId="35" xfId="0" applyBorder="1" applyAlignment="1">
      <alignment vertical="center" wrapText="1"/>
    </xf>
    <xf numFmtId="0" fontId="8" fillId="3" borderId="11" xfId="0" applyFont="1" applyFill="1" applyBorder="1" applyAlignment="1">
      <alignment horizontal="left"/>
    </xf>
    <xf numFmtId="0" fontId="8" fillId="3" borderId="12" xfId="0" applyFont="1" applyFill="1" applyBorder="1" applyAlignment="1">
      <alignment horizontal="left"/>
    </xf>
    <xf numFmtId="0" fontId="8" fillId="3" borderId="10" xfId="0" applyFont="1" applyFill="1" applyBorder="1" applyAlignment="1">
      <alignment horizontal="right"/>
    </xf>
    <xf numFmtId="0" fontId="8" fillId="3" borderId="11" xfId="0" applyFont="1" applyFill="1" applyBorder="1" applyAlignment="1">
      <alignment horizontal="right"/>
    </xf>
    <xf numFmtId="0" fontId="8" fillId="3" borderId="12" xfId="0" applyFont="1" applyFill="1" applyBorder="1" applyAlignment="1">
      <alignment horizontal="right"/>
    </xf>
    <xf numFmtId="0" fontId="8" fillId="3" borderId="10" xfId="0" applyFont="1" applyFill="1" applyBorder="1" applyAlignment="1">
      <alignment horizontal="left"/>
    </xf>
    <xf numFmtId="0" fontId="8" fillId="6" borderId="28" xfId="0" applyFont="1" applyFill="1" applyBorder="1" applyAlignment="1">
      <alignment horizontal="center" vertical="center" wrapText="1"/>
    </xf>
    <xf numFmtId="0" fontId="8" fillId="6" borderId="29" xfId="0" applyFont="1" applyFill="1" applyBorder="1" applyAlignment="1">
      <alignment horizontal="center" vertical="center" wrapText="1"/>
    </xf>
    <xf numFmtId="0" fontId="8" fillId="6" borderId="30" xfId="0" applyFont="1" applyFill="1" applyBorder="1" applyAlignment="1">
      <alignment horizontal="center" vertical="center" wrapText="1"/>
    </xf>
    <xf numFmtId="0" fontId="14" fillId="0" borderId="28" xfId="0" applyFont="1" applyBorder="1" applyAlignment="1">
      <alignment horizontal="center" wrapText="1"/>
    </xf>
    <xf numFmtId="0" fontId="14" fillId="0" borderId="29" xfId="0" applyFont="1" applyBorder="1" applyAlignment="1">
      <alignment horizontal="center" wrapText="1"/>
    </xf>
    <xf numFmtId="0" fontId="14" fillId="0" borderId="30" xfId="0" applyFont="1" applyBorder="1" applyAlignment="1">
      <alignment horizontal="center" wrapText="1"/>
    </xf>
    <xf numFmtId="0" fontId="0" fillId="4" borderId="10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2" fillId="5" borderId="5" xfId="0" applyFont="1" applyFill="1" applyBorder="1" applyAlignment="1">
      <alignment horizontal="left" wrapText="1"/>
    </xf>
    <xf numFmtId="0" fontId="2" fillId="5" borderId="0" xfId="0" applyFont="1" applyFill="1" applyAlignment="1">
      <alignment horizontal="left" wrapText="1"/>
    </xf>
    <xf numFmtId="0" fontId="2" fillId="5" borderId="8" xfId="0" applyFont="1" applyFill="1" applyBorder="1" applyAlignment="1">
      <alignment horizontal="left" wrapText="1"/>
    </xf>
    <xf numFmtId="0" fontId="18" fillId="0" borderId="15" xfId="0" applyFont="1" applyBorder="1" applyAlignment="1">
      <alignment vertical="center" wrapText="1"/>
    </xf>
    <xf numFmtId="0" fontId="18" fillId="0" borderId="34" xfId="0" applyFont="1" applyBorder="1" applyAlignment="1">
      <alignment vertical="center" wrapText="1"/>
    </xf>
    <xf numFmtId="0" fontId="18" fillId="0" borderId="0" xfId="0" applyFont="1" applyAlignment="1">
      <alignment horizontal="left" vertical="center" wrapText="1"/>
    </xf>
    <xf numFmtId="0" fontId="18" fillId="0" borderId="21" xfId="0" applyFont="1" applyBorder="1"/>
  </cellXfs>
  <cellStyles count="2">
    <cellStyle name="Hyperlink" xfId="1" builtinId="8"/>
    <cellStyle name="Normal" xfId="0" builtinId="0"/>
  </cellStyles>
  <dxfs count="12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</dxfs>
  <tableStyles count="0" defaultTableStyle="TableStyleMedium2" defaultPivotStyle="PivotStyleLight16"/>
  <colors>
    <mruColors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342900</xdr:colOff>
          <xdr:row>2</xdr:row>
          <xdr:rowOff>161925</xdr:rowOff>
        </xdr:from>
        <xdr:to>
          <xdr:col>16</xdr:col>
          <xdr:colOff>371475</xdr:colOff>
          <xdr:row>4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New Worksheet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603223</xdr:colOff>
      <xdr:row>13</xdr:row>
      <xdr:rowOff>38100</xdr:rowOff>
    </xdr:from>
    <xdr:to>
      <xdr:col>24</xdr:col>
      <xdr:colOff>122967</xdr:colOff>
      <xdr:row>40</xdr:row>
      <xdr:rowOff>122842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56823" y="3848100"/>
          <a:ext cx="4729919" cy="5418742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19</xdr:row>
      <xdr:rowOff>72882</xdr:rowOff>
    </xdr:from>
    <xdr:to>
      <xdr:col>15</xdr:col>
      <xdr:colOff>501635</xdr:colOff>
      <xdr:row>36</xdr:row>
      <xdr:rowOff>142875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3350" y="5025882"/>
          <a:ext cx="9740885" cy="330849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1409700</xdr:colOff>
          <xdr:row>2</xdr:row>
          <xdr:rowOff>123825</xdr:rowOff>
        </xdr:from>
        <xdr:to>
          <xdr:col>2</xdr:col>
          <xdr:colOff>2771775</xdr:colOff>
          <xdr:row>4</xdr:row>
          <xdr:rowOff>85725</xdr:rowOff>
        </xdr:to>
        <xdr:sp macro="" textlink="">
          <xdr:nvSpPr>
            <xdr:cNvPr id="44033" name="btn_Select_EDL_File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1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1409700</xdr:colOff>
          <xdr:row>2</xdr:row>
          <xdr:rowOff>123825</xdr:rowOff>
        </xdr:from>
        <xdr:to>
          <xdr:col>2</xdr:col>
          <xdr:colOff>2771775</xdr:colOff>
          <xdr:row>4</xdr:row>
          <xdr:rowOff>85725</xdr:rowOff>
        </xdr:to>
        <xdr:sp macro="" textlink="">
          <xdr:nvSpPr>
            <xdr:cNvPr id="1031" name="btn_Select_EDL_File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2" xr16:uid="{938A11AF-EFAB-464C-839E-2761C4FFEF26}" autoFormatId="16" applyNumberFormats="0" applyBorderFormats="0" applyFontFormats="1" applyPatternFormats="1" applyAlignmentFormats="0" applyWidthHeightFormats="0">
  <queryTableRefresh preserveSortFilterLayout="0" nextId="11">
    <queryTableFields count="10">
      <queryTableField id="1" name="Number" tableColumnId="11"/>
      <queryTableField id="2" name="Chapter" tableColumnId="12"/>
      <queryTableField id="3" name="Start Hr" tableColumnId="13"/>
      <queryTableField id="4" name="Start Min" tableColumnId="14"/>
      <queryTableField id="5" name="Start Sec" tableColumnId="15"/>
      <queryTableField id="6" name="Start mSec" tableColumnId="16"/>
      <queryTableField id="7" name="End Hr" tableColumnId="17"/>
      <queryTableField id="8" name="End Min" tableColumnId="18"/>
      <queryTableField id="9" name="End Sec" tableColumnId="19"/>
      <queryTableField id="10" name="End mSec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2805F36-BD4E-4FEB-B25F-8EF7A5AD59B3}" name="Table_ExternalData_1" displayName="Table_ExternalData_1" ref="A1:J13" tableType="queryTable" totalsRowShown="0" headerRowDxfId="11" dataDxfId="10">
  <autoFilter ref="A1:J13" xr:uid="{62805F36-BD4E-4FEB-B25F-8EF7A5AD59B3}"/>
  <tableColumns count="10">
    <tableColumn id="11" xr3:uid="{5E84EE22-24EB-4053-A2D4-29A7EE35053A}" uniqueName="11" name="Number" queryTableFieldId="1" dataDxfId="9"/>
    <tableColumn id="12" xr3:uid="{03FFC00B-7B73-42D4-9FD6-A63FFBD3C06E}" uniqueName="12" name="Chapter" queryTableFieldId="2" dataDxfId="8"/>
    <tableColumn id="13" xr3:uid="{F3EBD31B-E351-4E4D-9634-BB649110FB8C}" uniqueName="13" name="Start Hr" queryTableFieldId="3" dataDxfId="7"/>
    <tableColumn id="14" xr3:uid="{695C6008-DB6A-4F69-87F2-C69E7E2F4D0E}" uniqueName="14" name="Start Min" queryTableFieldId="4" dataDxfId="6"/>
    <tableColumn id="15" xr3:uid="{0D82A57B-0C20-42FF-B4BC-B4EA8E44317C}" uniqueName="15" name="Start Sec" queryTableFieldId="5" dataDxfId="5"/>
    <tableColumn id="16" xr3:uid="{22BAF361-1B53-433B-AB93-62197BC8BC57}" uniqueName="16" name="Start mSec" queryTableFieldId="6" dataDxfId="4"/>
    <tableColumn id="17" xr3:uid="{3AA7806E-F9E3-46E8-911C-8E1578A22818}" uniqueName="17" name="End Hr" queryTableFieldId="7" dataDxfId="3"/>
    <tableColumn id="18" xr3:uid="{710D5D5C-5E1A-466C-A943-4CEF0C0E3512}" uniqueName="18" name="End Min" queryTableFieldId="8" dataDxfId="2"/>
    <tableColumn id="19" xr3:uid="{7F0832D9-838B-4C39-A6E6-9DC6255BCDD3}" uniqueName="19" name="End Sec" queryTableFieldId="9" dataDxfId="1"/>
    <tableColumn id="20" xr3:uid="{DE4234AF-A83F-44B5-94CC-02BA2112B96E}" uniqueName="20" name="End mSec" queryTableFieldId="1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529864-8923-4F73-8FE4-4CA5482A614E}">
  <sheetPr codeName="Sheet1">
    <tabColor rgb="FFFFFF00"/>
  </sheetPr>
  <dimension ref="A1:S18"/>
  <sheetViews>
    <sheetView tabSelected="1" workbookViewId="0">
      <selection activeCell="A3" sqref="A3"/>
    </sheetView>
  </sheetViews>
  <sheetFormatPr defaultRowHeight="15" x14ac:dyDescent="0.25"/>
  <cols>
    <col min="1" max="1" width="12.5703125" customWidth="1"/>
    <col min="19" max="19" width="14.140625" customWidth="1"/>
  </cols>
  <sheetData>
    <row r="1" spans="1:19" ht="35.25" customHeight="1" thickBot="1" x14ac:dyDescent="0.35">
      <c r="A1" s="39" t="str">
        <f>"Rev: " &amp; 'Revision Control'!B1</f>
        <v>Rev: 0.3</v>
      </c>
      <c r="B1" s="102" t="s">
        <v>44</v>
      </c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4"/>
    </row>
    <row r="2" spans="1:19" ht="84" customHeight="1" thickBot="1" x14ac:dyDescent="0.3">
      <c r="A2" s="12"/>
      <c r="B2" s="99" t="s">
        <v>45</v>
      </c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1"/>
    </row>
    <row r="3" spans="1:19" ht="18.75" x14ac:dyDescent="0.3">
      <c r="A3" s="12" t="s">
        <v>139</v>
      </c>
      <c r="B3" s="2" t="s">
        <v>138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7"/>
    </row>
    <row r="4" spans="1:19" ht="18.75" x14ac:dyDescent="0.3">
      <c r="A4" s="6">
        <v>1</v>
      </c>
      <c r="B4" s="2" t="s">
        <v>144</v>
      </c>
      <c r="C4" s="2"/>
      <c r="D4" s="2"/>
      <c r="E4" s="2"/>
      <c r="F4" s="2"/>
      <c r="G4" s="2"/>
      <c r="H4" s="2"/>
      <c r="I4" s="2"/>
      <c r="J4" s="2"/>
      <c r="K4" s="2"/>
      <c r="L4" s="2"/>
      <c r="S4" s="7"/>
    </row>
    <row r="5" spans="1:19" ht="18.75" x14ac:dyDescent="0.3">
      <c r="A5" s="6">
        <v>2</v>
      </c>
      <c r="B5" s="2" t="s">
        <v>145</v>
      </c>
      <c r="C5" s="2"/>
      <c r="D5" s="2"/>
      <c r="E5" s="2"/>
      <c r="F5" s="2"/>
      <c r="G5" s="2"/>
      <c r="H5" s="2"/>
      <c r="I5" s="2"/>
      <c r="J5" s="2"/>
      <c r="K5" s="2"/>
      <c r="L5" s="2"/>
      <c r="S5" s="7"/>
    </row>
    <row r="6" spans="1:19" ht="18.75" x14ac:dyDescent="0.3">
      <c r="A6" s="6">
        <v>3</v>
      </c>
      <c r="B6" s="2" t="s">
        <v>140</v>
      </c>
      <c r="I6" s="2"/>
      <c r="J6" s="2"/>
      <c r="K6" s="2"/>
      <c r="L6" s="2"/>
      <c r="S6" s="7"/>
    </row>
    <row r="7" spans="1:19" ht="18.75" x14ac:dyDescent="0.3">
      <c r="A7" s="6">
        <v>4</v>
      </c>
      <c r="B7" s="2" t="s">
        <v>141</v>
      </c>
      <c r="C7" s="2"/>
      <c r="D7" s="2"/>
      <c r="E7" s="2"/>
      <c r="F7" s="2"/>
      <c r="G7" s="2"/>
      <c r="H7" s="2"/>
      <c r="I7" s="2"/>
      <c r="J7" s="2"/>
      <c r="K7" s="2"/>
      <c r="L7" s="2"/>
      <c r="S7" s="7"/>
    </row>
    <row r="8" spans="1:19" ht="18.75" x14ac:dyDescent="0.3">
      <c r="A8" s="6">
        <v>5</v>
      </c>
      <c r="B8" s="2" t="s">
        <v>142</v>
      </c>
      <c r="S8" s="7"/>
    </row>
    <row r="9" spans="1:19" ht="18.75" x14ac:dyDescent="0.3">
      <c r="A9" s="6">
        <v>6</v>
      </c>
      <c r="B9" s="2" t="s">
        <v>143</v>
      </c>
      <c r="S9" s="7"/>
    </row>
    <row r="10" spans="1:19" ht="19.5" thickBot="1" x14ac:dyDescent="0.35">
      <c r="A10" s="8"/>
      <c r="B10" s="9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1"/>
    </row>
    <row r="11" spans="1:19" ht="18.75" x14ac:dyDescent="0.3">
      <c r="A11" s="2"/>
      <c r="B11" s="2"/>
    </row>
    <row r="13" spans="1:19" ht="15.75" thickBot="1" x14ac:dyDescent="0.3"/>
    <row r="14" spans="1:19" ht="19.5" thickBot="1" x14ac:dyDescent="0.35">
      <c r="A14" s="13" t="s">
        <v>21</v>
      </c>
      <c r="B14" s="93" t="s">
        <v>31</v>
      </c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93"/>
      <c r="P14" s="94"/>
    </row>
    <row r="15" spans="1:19" ht="15.75" thickBot="1" x14ac:dyDescent="0.3"/>
    <row r="16" spans="1:19" ht="19.5" thickBot="1" x14ac:dyDescent="0.35">
      <c r="B16" s="95" t="s">
        <v>33</v>
      </c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7"/>
    </row>
    <row r="17" spans="2:16" ht="15.75" thickBot="1" x14ac:dyDescent="0.3"/>
    <row r="18" spans="2:16" ht="19.5" thickBot="1" x14ac:dyDescent="0.35">
      <c r="B18" s="98" t="s">
        <v>32</v>
      </c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93"/>
      <c r="P18" s="94"/>
    </row>
  </sheetData>
  <mergeCells count="5">
    <mergeCell ref="B14:P14"/>
    <mergeCell ref="B16:P16"/>
    <mergeCell ref="B18:P18"/>
    <mergeCell ref="B2:S2"/>
    <mergeCell ref="B1:S1"/>
  </mergeCells>
  <hyperlinks>
    <hyperlink ref="A1" location="'Revision Control'!A1" display="'Revision Control'!A1" xr:uid="{B9E4134F-3E0A-4141-BDFA-A7C773B712F3}"/>
  </hyperlink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1.CopyTemplate">
                <anchor moveWithCells="1" sizeWithCells="1">
                  <from>
                    <xdr:col>14</xdr:col>
                    <xdr:colOff>342900</xdr:colOff>
                    <xdr:row>2</xdr:row>
                    <xdr:rowOff>161925</xdr:rowOff>
                  </from>
                  <to>
                    <xdr:col>16</xdr:col>
                    <xdr:colOff>371475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974EB-B2DC-4DF7-8C1B-68385E71574C}">
  <sheetPr codeName="Sheet4">
    <tabColor rgb="FF00B050"/>
  </sheetPr>
  <dimension ref="A1:N44"/>
  <sheetViews>
    <sheetView workbookViewId="0">
      <selection activeCell="B2" sqref="B2"/>
    </sheetView>
  </sheetViews>
  <sheetFormatPr defaultRowHeight="15" x14ac:dyDescent="0.25"/>
  <cols>
    <col min="1" max="1" width="39.42578125" customWidth="1"/>
    <col min="2" max="2" width="91.85546875" customWidth="1"/>
    <col min="3" max="3" width="81.5703125" style="1" bestFit="1" customWidth="1"/>
    <col min="4" max="4" width="13.42578125" style="1" customWidth="1"/>
    <col min="5" max="5" width="9.5703125" customWidth="1"/>
    <col min="8" max="8" width="31.7109375" bestFit="1" customWidth="1"/>
    <col min="9" max="9" width="34.42578125" customWidth="1"/>
    <col min="10" max="10" width="34" customWidth="1"/>
  </cols>
  <sheetData>
    <row r="1" spans="1:14" ht="15.75" thickBot="1" x14ac:dyDescent="0.3">
      <c r="A1" s="43"/>
      <c r="B1" s="44" t="s">
        <v>17</v>
      </c>
      <c r="C1" s="73" t="s">
        <v>65</v>
      </c>
    </row>
    <row r="2" spans="1:14" ht="17.25" customHeight="1" thickBot="1" x14ac:dyDescent="0.3">
      <c r="A2" s="3" t="s">
        <v>5</v>
      </c>
      <c r="B2" s="63" t="s">
        <v>18</v>
      </c>
      <c r="C2" s="74" t="s">
        <v>136</v>
      </c>
    </row>
    <row r="3" spans="1:14" x14ac:dyDescent="0.25">
      <c r="A3" s="4" t="s">
        <v>24</v>
      </c>
      <c r="B3" s="64" t="s">
        <v>52</v>
      </c>
    </row>
    <row r="4" spans="1:14" x14ac:dyDescent="0.25">
      <c r="A4" s="4" t="s">
        <v>25</v>
      </c>
      <c r="B4" s="64" t="s">
        <v>53</v>
      </c>
      <c r="D4"/>
    </row>
    <row r="5" spans="1:14" x14ac:dyDescent="0.25">
      <c r="A5" s="4" t="s">
        <v>15</v>
      </c>
      <c r="B5" s="64" t="s">
        <v>54</v>
      </c>
      <c r="D5"/>
    </row>
    <row r="6" spans="1:14" ht="15.75" thickBot="1" x14ac:dyDescent="0.3">
      <c r="A6" s="5" t="s">
        <v>48</v>
      </c>
      <c r="B6" s="65">
        <v>5</v>
      </c>
      <c r="C6" s="73" t="s">
        <v>131</v>
      </c>
      <c r="D6"/>
    </row>
    <row r="7" spans="1:14" ht="15.75" thickBot="1" x14ac:dyDescent="0.3">
      <c r="A7" s="4" t="s">
        <v>26</v>
      </c>
      <c r="B7" s="64" t="s">
        <v>50</v>
      </c>
      <c r="C7" s="77" t="str">
        <f ca="1">RIGHT(CELL("filename"),LEN(CELL("filename"))-FIND("]",CELL("filename")))</f>
        <v>Revision Control</v>
      </c>
    </row>
    <row r="8" spans="1:14" ht="48" customHeight="1" thickBot="1" x14ac:dyDescent="0.3">
      <c r="A8" s="4" t="s">
        <v>27</v>
      </c>
      <c r="B8" s="66" t="s">
        <v>51</v>
      </c>
    </row>
    <row r="9" spans="1:14" ht="19.5" thickBot="1" x14ac:dyDescent="0.35">
      <c r="A9" s="40" t="s">
        <v>19</v>
      </c>
      <c r="B9" s="42" t="s">
        <v>9</v>
      </c>
      <c r="C9" s="41" t="s">
        <v>8</v>
      </c>
      <c r="D9" s="105" t="s">
        <v>20</v>
      </c>
      <c r="E9" s="106"/>
      <c r="F9" s="106"/>
      <c r="G9" s="106"/>
      <c r="H9" s="106"/>
      <c r="I9" s="106"/>
      <c r="J9" s="106"/>
      <c r="K9" s="106"/>
      <c r="L9" s="106"/>
      <c r="M9" s="106"/>
      <c r="N9" s="107"/>
    </row>
    <row r="10" spans="1:14" ht="15.75" thickBot="1" x14ac:dyDescent="0.3">
      <c r="A10" s="67" t="str">
        <f>IF(('EDL Processor'!C2+'EDL Processor'!D2+'EDL Processor'!E2) = 0,"00:00:00 Start", TEXT('EDL Processor'!C2,"00") &amp; ":"  &amp; TEXT('EDL Processor'!D2,"00") &amp;  ":"  &amp; TEXT('EDL Processor'!E2,"00") &amp; " " &amp;  'EDL Processor'!B2)</f>
        <v>00:00:12 Start</v>
      </c>
      <c r="B10" s="80" t="str">
        <f>OneLineDescription</f>
        <v>Alan Lomax presents a short video while testing audio levels.</v>
      </c>
      <c r="C10" s="81" t="str">
        <f>WRAPbox</f>
        <v>&lt;WRAP box&gt;</v>
      </c>
      <c r="D10" s="69" t="s">
        <v>4</v>
      </c>
      <c r="E10" s="70" t="s">
        <v>0</v>
      </c>
      <c r="F10" s="70" t="s">
        <v>1</v>
      </c>
      <c r="G10" s="70" t="s">
        <v>2</v>
      </c>
      <c r="H10" s="71" t="s">
        <v>3</v>
      </c>
    </row>
    <row r="11" spans="1:14" ht="45" x14ac:dyDescent="0.25">
      <c r="A11" s="67" t="str">
        <f>IF(('EDL Processor'!C3+'EDL Processor'!D3+'EDL Processor'!E3) = 0,"", TEXT('EDL Processor'!C3,"00") &amp; ":"  &amp; TEXT('EDL Processor'!D3,"00") &amp;  ":"  &amp; TEXT('EDL Processor'!E3,"00") &amp; " " &amp;  'EDL Processor'!B3)</f>
        <v>00:02:14 Topics</v>
      </c>
      <c r="B11" s="82" t="str">
        <f xml:space="preserve"> YT_Show_More</f>
        <v>Press 'Show More' to review the timeline and jump to a specific chapter.
Timeline:</v>
      </c>
      <c r="C11" s="83" t="str">
        <f xml:space="preserve"> "=====" &amp; BoxTitle &amp; "====="</f>
        <v>=====Test Code Generator=====</v>
      </c>
      <c r="D11" s="55">
        <f t="shared" ref="D11:D30" si="0">(3600*E11)+(60*F11)+G11</f>
        <v>12</v>
      </c>
      <c r="E11" s="56" t="str">
        <f t="shared" ref="E11:E30" si="1">MID($A10,1,2)</f>
        <v>00</v>
      </c>
      <c r="F11" s="57" t="str">
        <f>MID($A10,4,2)</f>
        <v>00</v>
      </c>
      <c r="G11" s="57" t="str">
        <f>MID($A10,7,2)</f>
        <v>12</v>
      </c>
      <c r="H11" s="58" t="str">
        <f>MID($A10,10,99)</f>
        <v>Start</v>
      </c>
      <c r="I11" s="45" t="s">
        <v>7</v>
      </c>
      <c r="J11" s="108" t="s">
        <v>11</v>
      </c>
      <c r="K11" s="109"/>
      <c r="L11" s="109"/>
      <c r="M11" s="109"/>
      <c r="N11" s="110"/>
    </row>
    <row r="12" spans="1:14" x14ac:dyDescent="0.25">
      <c r="A12" s="67" t="str">
        <f>IF(('EDL Processor'!C4+'EDL Processor'!D4+'EDL Processor'!E4) = 0,"", TEXT('EDL Processor'!C4,"00") &amp; ":"  &amp; TEXT('EDL Processor'!D4,"00") &amp;  ":"  &amp; TEXT('EDL Processor'!E4,"00") &amp; " " &amp;  'EDL Processor'!B4)</f>
        <v>00:03:14 What is RFID?</v>
      </c>
      <c r="B12" s="80" t="str">
        <f>IF(A10="Paste timeline here ONLY","",IF(ISBLANK(A10),"",A10))</f>
        <v>00:00:12 Start</v>
      </c>
      <c r="C12" s="83" t="str">
        <f xml:space="preserve"> "====" &amp; txtDateTime &amp; "===="</f>
        <v>====Might have been a Zoom Meeting 29th February 2023====</v>
      </c>
      <c r="D12" s="48">
        <f t="shared" si="0"/>
        <v>134</v>
      </c>
      <c r="E12" s="78" t="str">
        <f t="shared" si="1"/>
        <v>00</v>
      </c>
      <c r="F12" s="79" t="str">
        <f>MID($A11,4,2)</f>
        <v>02</v>
      </c>
      <c r="G12" s="79" t="str">
        <f>MID($A11,7,2)</f>
        <v>14</v>
      </c>
      <c r="H12" s="54" t="str">
        <f>MID($A11,10,99)</f>
        <v>Topics</v>
      </c>
      <c r="I12" s="45" t="s">
        <v>10</v>
      </c>
      <c r="J12" s="48" t="s">
        <v>12</v>
      </c>
      <c r="K12" s="46"/>
      <c r="L12" s="46"/>
      <c r="M12" s="46"/>
      <c r="N12" s="47"/>
    </row>
    <row r="13" spans="1:14" x14ac:dyDescent="0.25">
      <c r="A13" s="67" t="str">
        <f>IF(('EDL Processor'!C5+'EDL Processor'!D5+'EDL Processor'!E5) = 0,"", TEXT('EDL Processor'!C5,"00") &amp; ":"  &amp; TEXT('EDL Processor'!D5,"00") &amp;  ":"  &amp; TEXT('EDL Processor'!E5,"00") &amp; " " &amp;  'EDL Processor'!B5)</f>
        <v>00:08:33 RFID Vocabulary</v>
      </c>
      <c r="B13" s="80" t="str">
        <f>IF(ISBLANK(A11),"",A11)</f>
        <v>00:02:14 Topics</v>
      </c>
      <c r="C13" s="83" t="str">
        <f xml:space="preserve"> "===" &amp; VideoTitle &amp; "==="</f>
        <v>===Random Bits and Bobs===</v>
      </c>
      <c r="D13" s="48">
        <f t="shared" si="0"/>
        <v>194</v>
      </c>
      <c r="E13" s="78" t="str">
        <f t="shared" si="1"/>
        <v>00</v>
      </c>
      <c r="F13" s="79" t="str">
        <f t="shared" ref="F13:F30" si="2">MID($A12,4,2)</f>
        <v>03</v>
      </c>
      <c r="G13" s="79" t="str">
        <f t="shared" ref="G13:G30" si="3">MID($A12,7,2)</f>
        <v>14</v>
      </c>
      <c r="H13" s="54" t="str">
        <f t="shared" ref="H13:H30" si="4">MID($A12,10,99)</f>
        <v>What is RFID?</v>
      </c>
      <c r="I13" s="45" t="s">
        <v>10</v>
      </c>
      <c r="J13" s="48" t="s">
        <v>13</v>
      </c>
      <c r="K13" s="49"/>
      <c r="L13" s="49"/>
      <c r="M13" s="49"/>
      <c r="N13" s="50"/>
    </row>
    <row r="14" spans="1:14" x14ac:dyDescent="0.25">
      <c r="A14" s="67" t="str">
        <f>IF(('EDL Processor'!C6+'EDL Processor'!D6+'EDL Processor'!E6) = 0,"", TEXT('EDL Processor'!C6,"00") &amp; ":"  &amp; TEXT('EDL Processor'!D6,"00") &amp;  ":"  &amp; TEXT('EDL Processor'!E6,"00") &amp; " " &amp;  'EDL Processor'!B6)</f>
        <v>00:20:33 Vocabulary Summary  in Pictures</v>
      </c>
      <c r="B14" s="80" t="str">
        <f t="shared" ref="B14:B31" si="5">IF(ISBLANK(A12),"",A12)</f>
        <v>00:03:14 What is RFID?</v>
      </c>
      <c r="C14" s="83" t="str">
        <f>WRAPcolumn</f>
        <v>&lt;WRAP column&gt;</v>
      </c>
      <c r="D14" s="48">
        <f t="shared" si="0"/>
        <v>513</v>
      </c>
      <c r="E14" s="78" t="str">
        <f t="shared" si="1"/>
        <v>00</v>
      </c>
      <c r="F14" s="79" t="str">
        <f t="shared" si="2"/>
        <v>08</v>
      </c>
      <c r="G14" s="79" t="str">
        <f t="shared" si="3"/>
        <v>33</v>
      </c>
      <c r="H14" s="54" t="str">
        <f t="shared" si="4"/>
        <v>RFID Vocabulary</v>
      </c>
      <c r="I14" s="45" t="s">
        <v>10</v>
      </c>
      <c r="J14" s="48" t="s">
        <v>14</v>
      </c>
      <c r="K14" s="49"/>
      <c r="L14" s="49"/>
      <c r="M14" s="49"/>
      <c r="N14" s="50"/>
    </row>
    <row r="15" spans="1:14" x14ac:dyDescent="0.25">
      <c r="A15" s="67" t="str">
        <f>IF(('EDL Processor'!C7+'EDL Processor'!D7+'EDL Processor'!E7) = 0,"", TEXT('EDL Processor'!C7,"00") &amp; ":"  &amp; TEXT('EDL Processor'!D7,"00") &amp;  ":"  &amp; TEXT('EDL Processor'!E7,"00") &amp; " " &amp;  'EDL Processor'!B7)</f>
        <v>00:22:08 RFID Standards</v>
      </c>
      <c r="B15" s="80" t="str">
        <f t="shared" si="5"/>
        <v>00:08:33 RFID Vocabulary</v>
      </c>
      <c r="C15" s="83" t="str">
        <f>WRAPcolumnhalf</f>
        <v>&lt;WRAP column half&gt;</v>
      </c>
      <c r="D15" s="48">
        <f t="shared" si="0"/>
        <v>1233</v>
      </c>
      <c r="E15" s="78" t="str">
        <f t="shared" si="1"/>
        <v>00</v>
      </c>
      <c r="F15" s="79" t="str">
        <f t="shared" si="2"/>
        <v>20</v>
      </c>
      <c r="G15" s="79" t="str">
        <f t="shared" si="3"/>
        <v>33</v>
      </c>
      <c r="H15" s="54" t="str">
        <f t="shared" si="4"/>
        <v>Vocabulary Summary  in Pictures</v>
      </c>
      <c r="I15" s="45" t="s">
        <v>10</v>
      </c>
      <c r="J15" s="51" t="s">
        <v>16</v>
      </c>
      <c r="K15" s="49"/>
      <c r="L15" s="49"/>
      <c r="M15" s="49"/>
      <c r="N15" s="50"/>
    </row>
    <row r="16" spans="1:14" x14ac:dyDescent="0.25">
      <c r="A16" s="67" t="str">
        <f>IF(('EDL Processor'!C8+'EDL Processor'!D8+'EDL Processor'!E8) = 0,"", TEXT('EDL Processor'!C8,"00") &amp; ":"  &amp; TEXT('EDL Processor'!D8,"00") &amp;  ":"  &amp; TEXT('EDL Processor'!E8,"00") &amp; " " &amp;  'EDL Processor'!B8)</f>
        <v>00:24:57 Choice of Frequency</v>
      </c>
      <c r="B16" s="80" t="str">
        <f t="shared" si="5"/>
        <v>00:20:33 Vocabulary Summary  in Pictures</v>
      </c>
      <c r="C16" s="84" t="str">
        <f>LongDescription</f>
        <v>In this video Alan Lomax introduces utilizes his new recording studio (Which was purpose built to rival Abbey Road) .</v>
      </c>
      <c r="D16" s="48">
        <f t="shared" si="0"/>
        <v>1328</v>
      </c>
      <c r="E16" s="78" t="str">
        <f t="shared" si="1"/>
        <v>00</v>
      </c>
      <c r="F16" s="79" t="str">
        <f t="shared" si="2"/>
        <v>22</v>
      </c>
      <c r="G16" s="79" t="str">
        <f t="shared" si="3"/>
        <v>08</v>
      </c>
      <c r="H16" s="54" t="str">
        <f t="shared" si="4"/>
        <v>RFID Standards</v>
      </c>
      <c r="I16" s="45" t="s">
        <v>10</v>
      </c>
      <c r="J16" s="52" t="s">
        <v>22</v>
      </c>
      <c r="K16" s="53"/>
      <c r="L16" s="53"/>
      <c r="M16" s="53"/>
      <c r="N16" s="54"/>
    </row>
    <row r="17" spans="1:14" x14ac:dyDescent="0.25">
      <c r="A17" s="67" t="str">
        <f>IF(('EDL Processor'!C9+'EDL Processor'!D9+'EDL Processor'!E9) = 0,"", TEXT('EDL Processor'!C9,"00") &amp; ":"  &amp; TEXT('EDL Processor'!D9,"00") &amp;  ":"  &amp; TEXT('EDL Processor'!E9,"00") &amp; " " &amp;  'EDL Processor'!B9)</f>
        <v>00:26:22 Q&amp;A Intermission</v>
      </c>
      <c r="B17" s="80" t="str">
        <f t="shared" si="5"/>
        <v>00:22:08 RFID Standards</v>
      </c>
      <c r="C17" s="84" t="str">
        <f>EOL</f>
        <v>\\</v>
      </c>
      <c r="D17" s="48">
        <f t="shared" si="0"/>
        <v>1497</v>
      </c>
      <c r="E17" s="78" t="str">
        <f t="shared" si="1"/>
        <v>00</v>
      </c>
      <c r="F17" s="79" t="str">
        <f t="shared" si="2"/>
        <v>24</v>
      </c>
      <c r="G17" s="79" t="str">
        <f t="shared" si="3"/>
        <v>57</v>
      </c>
      <c r="H17" s="54" t="str">
        <f t="shared" si="4"/>
        <v>Choice of Frequency</v>
      </c>
      <c r="I17" s="45"/>
      <c r="J17" s="52"/>
      <c r="K17" s="53"/>
      <c r="L17" s="53"/>
      <c r="M17" s="53"/>
      <c r="N17" s="54"/>
    </row>
    <row r="18" spans="1:14" x14ac:dyDescent="0.25">
      <c r="A18" s="67" t="str">
        <f>IF(('EDL Processor'!C10+'EDL Processor'!D10+'EDL Processor'!E10) = 0,"", TEXT('EDL Processor'!C10,"00") &amp; ":"  &amp; TEXT('EDL Processor'!D10,"00") &amp;  ":"  &amp; TEXT('EDL Processor'!E10,"00") &amp; " " &amp;  'EDL Processor'!B10)</f>
        <v>00:38:57 Example: RF Field Strength Tester</v>
      </c>
      <c r="B18" s="80" t="str">
        <f t="shared" si="5"/>
        <v>00:24:57 Choice of Frequency</v>
      </c>
      <c r="C18" s="85" t="str">
        <f>IFERROR(IF(ISBLANK($A10),"","[["&amp;YT_URL&amp;"?t="&amp;$D11&amp;"|"&amp; IF(LT1Hr = FALSE,MID($A10,1,8), MID($A10,1,5))&amp;"]] " &amp;$H11&amp;"\\"),"")</f>
        <v>[[https://youtu.be/_K-W8S6AVDE?t=12|00:00:12]] Start\\</v>
      </c>
      <c r="D18" s="48">
        <f t="shared" si="0"/>
        <v>1582</v>
      </c>
      <c r="E18" s="78" t="str">
        <f t="shared" si="1"/>
        <v>00</v>
      </c>
      <c r="F18" s="79" t="str">
        <f t="shared" si="2"/>
        <v>26</v>
      </c>
      <c r="G18" s="79" t="str">
        <f t="shared" si="3"/>
        <v>22</v>
      </c>
      <c r="H18" s="54" t="str">
        <f t="shared" si="4"/>
        <v>Q&amp;A Intermission</v>
      </c>
    </row>
    <row r="19" spans="1:14" x14ac:dyDescent="0.25">
      <c r="A19" s="67" t="str">
        <f>IF(('EDL Processor'!C11+'EDL Processor'!D11+'EDL Processor'!E11) = 0,"", TEXT('EDL Processor'!C11,"00") &amp; ":"  &amp; TEXT('EDL Processor'!D11,"00") &amp;  ":"  &amp; TEXT('EDL Processor'!E11,"00") &amp; " " &amp;  'EDL Processor'!B11)</f>
        <v>00:48:39 Part 2 - RFID Usage Cases</v>
      </c>
      <c r="B19" s="80" t="str">
        <f t="shared" si="5"/>
        <v>00:26:22 Q&amp;A Intermission</v>
      </c>
      <c r="C19" s="85" t="str">
        <f>IFERROR(IF(ISBLANK($A11),"","[["&amp;YT_URL&amp;"?t="&amp;$D12&amp;"|"&amp; IF(LT1Hr = FALSE,MID($A11,1,8), MID($A11,1,5))&amp;"]] " &amp;$H12&amp;"\\"),"")</f>
        <v>[[https://youtu.be/_K-W8S6AVDE?t=134|00:02:14]] Topics\\</v>
      </c>
      <c r="D19" s="48">
        <f t="shared" si="0"/>
        <v>2337</v>
      </c>
      <c r="E19" s="78" t="str">
        <f t="shared" si="1"/>
        <v>00</v>
      </c>
      <c r="F19" s="79" t="str">
        <f t="shared" si="2"/>
        <v>38</v>
      </c>
      <c r="G19" s="79" t="str">
        <f t="shared" si="3"/>
        <v>57</v>
      </c>
      <c r="H19" s="54" t="str">
        <f t="shared" si="4"/>
        <v>Example: RF Field Strength Tester</v>
      </c>
    </row>
    <row r="20" spans="1:14" x14ac:dyDescent="0.25">
      <c r="A20" s="67" t="str">
        <f>IF(('EDL Processor'!C12+'EDL Processor'!D12+'EDL Processor'!E12) = 0,"", TEXT('EDL Processor'!C12,"00") &amp; ":"  &amp; TEXT('EDL Processor'!D12,"00") &amp;  ":"  &amp; TEXT('EDL Processor'!E12,"00") &amp; " " &amp;  'EDL Processor'!B12)</f>
        <v>00:56:09 Multiple Data Consumers</v>
      </c>
      <c r="B20" s="80" t="str">
        <f t="shared" si="5"/>
        <v>00:38:57 Example: RF Field Strength Tester</v>
      </c>
      <c r="C20" s="85" t="str">
        <f>IFERROR(IF(ISBLANK($A12),"","[["&amp;YT_URL&amp;"?t="&amp;$D13&amp;"|"&amp; IF(LT1Hr = FALSE,MID($A12,1,8), MID($A12,1,5))&amp;"]] " &amp;$H13&amp;"\\"),"")</f>
        <v>[[https://youtu.be/_K-W8S6AVDE?t=194|00:03:14]] What is RFID?\\</v>
      </c>
      <c r="D20" s="48">
        <f t="shared" si="0"/>
        <v>2919</v>
      </c>
      <c r="E20" s="78" t="str">
        <f t="shared" si="1"/>
        <v>00</v>
      </c>
      <c r="F20" s="79" t="str">
        <f t="shared" si="2"/>
        <v>48</v>
      </c>
      <c r="G20" s="79" t="str">
        <f t="shared" si="3"/>
        <v>39</v>
      </c>
      <c r="H20" s="54" t="str">
        <f t="shared" si="4"/>
        <v>Part 2 - RFID Usage Cases</v>
      </c>
    </row>
    <row r="21" spans="1:14" x14ac:dyDescent="0.25">
      <c r="A21" s="67" t="str">
        <f>IF(('EDL Processor'!C13+'EDL Processor'!D13+'EDL Processor'!E13) = 0,"", TEXT('EDL Processor'!C13,"00") &amp; ":"  &amp; TEXT('EDL Processor'!D13,"00") &amp;  ":"  &amp; TEXT('EDL Processor'!E13,"00") &amp; " " &amp;  'EDL Processor'!B13)</f>
        <v>01:05:18 Summary and Wrap Up</v>
      </c>
      <c r="B21" s="80" t="str">
        <f t="shared" si="5"/>
        <v>00:48:39 Part 2 - RFID Usage Cases</v>
      </c>
      <c r="C21" s="85" t="str">
        <f>IFERROR(IF(ISBLANK($A13),"","[["&amp;YT_URL&amp;"?t="&amp;$D14&amp;"|"&amp; IF(LT1Hr = FALSE,MID($A13,1,8), MID($A13,1,5))&amp;"]] " &amp;$H14&amp;"\\"),"")</f>
        <v>[[https://youtu.be/_K-W8S6AVDE?t=513|00:08:33]] RFID Vocabulary\\</v>
      </c>
      <c r="D21" s="48">
        <f t="shared" si="0"/>
        <v>3369</v>
      </c>
      <c r="E21" s="78" t="str">
        <f t="shared" si="1"/>
        <v>00</v>
      </c>
      <c r="F21" s="79" t="str">
        <f t="shared" si="2"/>
        <v>56</v>
      </c>
      <c r="G21" s="79" t="str">
        <f t="shared" si="3"/>
        <v>09</v>
      </c>
      <c r="H21" s="54" t="str">
        <f t="shared" si="4"/>
        <v>Multiple Data Consumers</v>
      </c>
    </row>
    <row r="22" spans="1:14" x14ac:dyDescent="0.25">
      <c r="A22" s="67" t="str">
        <f>IF(('EDL Processor'!C14+'EDL Processor'!D14+'EDL Processor'!E14) = 0,"", TEXT('EDL Processor'!C14,"00") &amp; ":"  &amp; TEXT('EDL Processor'!D14,"00") &amp;  ":"  &amp; TEXT('EDL Processor'!E14,"00") &amp; " " &amp;  'EDL Processor'!B14)</f>
        <v/>
      </c>
      <c r="B22" s="80" t="str">
        <f t="shared" si="5"/>
        <v>00:56:09 Multiple Data Consumers</v>
      </c>
      <c r="C22" s="85" t="str">
        <f>IFERROR(IF(ISBLANK($A14),"","[["&amp;YT_URL&amp;"?t="&amp;$D15&amp;"|"&amp; IF(LT1Hr = FALSE,MID($A14,1,8), MID($A14,1,5))&amp;"]] " &amp;$H15&amp;"\\"),"")</f>
        <v>[[https://youtu.be/_K-W8S6AVDE?t=1233|00:20:33]] Vocabulary Summary  in Pictures\\</v>
      </c>
      <c r="D22" s="48">
        <f t="shared" si="0"/>
        <v>3918</v>
      </c>
      <c r="E22" s="78" t="str">
        <f t="shared" si="1"/>
        <v>01</v>
      </c>
      <c r="F22" s="79" t="str">
        <f t="shared" si="2"/>
        <v>05</v>
      </c>
      <c r="G22" s="79" t="str">
        <f t="shared" si="3"/>
        <v>18</v>
      </c>
      <c r="H22" s="54" t="str">
        <f t="shared" si="4"/>
        <v>Summary and Wrap Up</v>
      </c>
    </row>
    <row r="23" spans="1:14" x14ac:dyDescent="0.25">
      <c r="A23" s="67" t="str">
        <f>IF(('EDL Processor'!C15+'EDL Processor'!D15+'EDL Processor'!E15) = 0,"", TEXT('EDL Processor'!C15,"00") &amp; ":"  &amp; TEXT('EDL Processor'!D15,"00") &amp;  ":"  &amp; TEXT('EDL Processor'!E15,"00") &amp; " " &amp;  'EDL Processor'!B15)</f>
        <v/>
      </c>
      <c r="B23" s="80" t="str">
        <f t="shared" si="5"/>
        <v>01:05:18 Summary and Wrap Up</v>
      </c>
      <c r="C23" s="85" t="str">
        <f>IFERROR(IF(ISBLANK($A15),"","[["&amp;YT_URL&amp;"?t="&amp;$D16&amp;"|"&amp; IF(LT1Hr = FALSE,MID($A15,1,8), MID($A15,1,5))&amp;"]] " &amp;$H16&amp;"\\"),"")</f>
        <v>[[https://youtu.be/_K-W8S6AVDE?t=1328|00:22:08]] RFID Standards\\</v>
      </c>
      <c r="D23" s="48" t="e">
        <f t="shared" si="0"/>
        <v>#VALUE!</v>
      </c>
      <c r="E23" s="78" t="str">
        <f t="shared" si="1"/>
        <v/>
      </c>
      <c r="F23" s="79" t="str">
        <f t="shared" si="2"/>
        <v/>
      </c>
      <c r="G23" s="79" t="str">
        <f t="shared" si="3"/>
        <v/>
      </c>
      <c r="H23" s="54" t="str">
        <f t="shared" si="4"/>
        <v/>
      </c>
    </row>
    <row r="24" spans="1:14" x14ac:dyDescent="0.25">
      <c r="A24" s="67" t="str">
        <f>IF(('EDL Processor'!C16+'EDL Processor'!D16+'EDL Processor'!E16) = 0,"", TEXT('EDL Processor'!C16,"00") &amp; ":"  &amp; TEXT('EDL Processor'!D16,"00") &amp;  ":"  &amp; TEXT('EDL Processor'!E16,"00") &amp; " " &amp;  'EDL Processor'!B16)</f>
        <v/>
      </c>
      <c r="B24" s="80" t="str">
        <f t="shared" si="5"/>
        <v/>
      </c>
      <c r="C24" s="85" t="str">
        <f>IFERROR(IF(ISBLANK($A16),"","[["&amp;YT_URL&amp;"?t="&amp;$D17&amp;"|"&amp; IF(LT1Hr = FALSE,MID($A16,1,8), MID($A16,1,5))&amp;"]] " &amp;$H17&amp;"\\"),"")</f>
        <v>[[https://youtu.be/_K-W8S6AVDE?t=1497|00:24:57]] Choice of Frequency\\</v>
      </c>
      <c r="D24" s="48" t="e">
        <f t="shared" si="0"/>
        <v>#VALUE!</v>
      </c>
      <c r="E24" s="78" t="str">
        <f t="shared" si="1"/>
        <v/>
      </c>
      <c r="F24" s="79" t="str">
        <f t="shared" si="2"/>
        <v/>
      </c>
      <c r="G24" s="79" t="str">
        <f t="shared" si="3"/>
        <v/>
      </c>
      <c r="H24" s="54" t="str">
        <f t="shared" si="4"/>
        <v/>
      </c>
    </row>
    <row r="25" spans="1:14" x14ac:dyDescent="0.25">
      <c r="A25" s="67" t="str">
        <f>IF(('EDL Processor'!C17+'EDL Processor'!D17+'EDL Processor'!E17) = 0,"", TEXT('EDL Processor'!C17,"00") &amp; ":"  &amp; TEXT('EDL Processor'!D17,"00") &amp;  ":"  &amp; TEXT('EDL Processor'!E17,"00") &amp; " " &amp;  'EDL Processor'!B17)</f>
        <v/>
      </c>
      <c r="B25" s="80" t="str">
        <f t="shared" si="5"/>
        <v/>
      </c>
      <c r="C25" s="85" t="str">
        <f>IFERROR(IF(ISBLANK($A17),"","[["&amp;YT_URL&amp;"?t="&amp;$D18&amp;"|"&amp; IF(LT1Hr = FALSE,MID($A17,1,8), MID($A17,1,5))&amp;"]] " &amp;$H18&amp;"\\"),"")</f>
        <v>[[https://youtu.be/_K-W8S6AVDE?t=1582|00:26:22]] Q&amp;A Intermission\\</v>
      </c>
      <c r="D25" s="48" t="e">
        <f t="shared" si="0"/>
        <v>#VALUE!</v>
      </c>
      <c r="E25" s="78" t="str">
        <f t="shared" si="1"/>
        <v/>
      </c>
      <c r="F25" s="79" t="str">
        <f t="shared" si="2"/>
        <v/>
      </c>
      <c r="G25" s="79" t="str">
        <f t="shared" si="3"/>
        <v/>
      </c>
      <c r="H25" s="54" t="str">
        <f t="shared" si="4"/>
        <v/>
      </c>
    </row>
    <row r="26" spans="1:14" x14ac:dyDescent="0.25">
      <c r="A26" s="67" t="str">
        <f>IF(('EDL Processor'!C18+'EDL Processor'!D18+'EDL Processor'!E18) = 0,"", TEXT('EDL Processor'!C18,"00") &amp; ":"  &amp; TEXT('EDL Processor'!D18,"00") &amp;  ":"  &amp; TEXT('EDL Processor'!E18,"00") &amp; " " &amp;  'EDL Processor'!B18)</f>
        <v/>
      </c>
      <c r="B26" s="80" t="str">
        <f t="shared" si="5"/>
        <v/>
      </c>
      <c r="C26" s="85" t="str">
        <f>IFERROR(IF(ISBLANK($A18),"","[["&amp;YT_URL&amp;"?t="&amp;$D19&amp;"|"&amp; IF(LT1Hr = FALSE,MID($A18,1,8), MID($A18,1,5))&amp;"]] " &amp;$H19&amp;"\\"),"")</f>
        <v>[[https://youtu.be/_K-W8S6AVDE?t=2337|00:38:57]] Example: RF Field Strength Tester\\</v>
      </c>
      <c r="D26" s="48" t="e">
        <f t="shared" si="0"/>
        <v>#VALUE!</v>
      </c>
      <c r="E26" s="78" t="str">
        <f t="shared" si="1"/>
        <v/>
      </c>
      <c r="F26" s="79" t="str">
        <f t="shared" si="2"/>
        <v/>
      </c>
      <c r="G26" s="79" t="str">
        <f t="shared" si="3"/>
        <v/>
      </c>
      <c r="H26" s="54" t="str">
        <f t="shared" si="4"/>
        <v/>
      </c>
    </row>
    <row r="27" spans="1:14" x14ac:dyDescent="0.25">
      <c r="A27" s="67" t="str">
        <f>IF(('EDL Processor'!C19+'EDL Processor'!D19+'EDL Processor'!E19) = 0,"", TEXT('EDL Processor'!C19,"00") &amp; ":"  &amp; TEXT('EDL Processor'!D19,"00") &amp;  ":"  &amp; TEXT('EDL Processor'!E19,"00") &amp; " " &amp;  'EDL Processor'!B19)</f>
        <v/>
      </c>
      <c r="B27" s="80" t="str">
        <f t="shared" si="5"/>
        <v/>
      </c>
      <c r="C27" s="85" t="str">
        <f>IFERROR(IF(ISBLANK($A19),"","[["&amp;YT_URL&amp;"?t="&amp;$D20&amp;"|"&amp; IF(LT1Hr = FALSE,MID($A19,1,8), MID($A19,1,5))&amp;"]] " &amp;$H20&amp;"\\"),"")</f>
        <v>[[https://youtu.be/_K-W8S6AVDE?t=2919|00:48:39]] Part 2 - RFID Usage Cases\\</v>
      </c>
      <c r="D27" s="48" t="e">
        <f t="shared" si="0"/>
        <v>#VALUE!</v>
      </c>
      <c r="E27" s="78" t="str">
        <f t="shared" si="1"/>
        <v/>
      </c>
      <c r="F27" s="79" t="str">
        <f t="shared" si="2"/>
        <v/>
      </c>
      <c r="G27" s="79" t="str">
        <f t="shared" si="3"/>
        <v/>
      </c>
      <c r="H27" s="54" t="str">
        <f t="shared" si="4"/>
        <v/>
      </c>
    </row>
    <row r="28" spans="1:14" x14ac:dyDescent="0.25">
      <c r="A28" s="67" t="str">
        <f>IF(('EDL Processor'!C20+'EDL Processor'!D20+'EDL Processor'!E20) = 0,"", TEXT('EDL Processor'!C20,"00") &amp; ":"  &amp; TEXT('EDL Processor'!D20,"00") &amp;  ":"  &amp; TEXT('EDL Processor'!E20,"00") &amp; " " &amp;  'EDL Processor'!B20)</f>
        <v/>
      </c>
      <c r="B28" s="80" t="str">
        <f t="shared" si="5"/>
        <v/>
      </c>
      <c r="C28" s="85" t="str">
        <f>IFERROR(IF(ISBLANK($A20),"","[["&amp;YT_URL&amp;"?t="&amp;$D21&amp;"|"&amp; IF(LT1Hr = FALSE,MID($A20,1,8), MID($A20,1,5))&amp;"]] " &amp;$H21&amp;"\\"),"")</f>
        <v>[[https://youtu.be/_K-W8S6AVDE?t=3369|00:56:09]] Multiple Data Consumers\\</v>
      </c>
      <c r="D28" s="48" t="e">
        <f t="shared" si="0"/>
        <v>#VALUE!</v>
      </c>
      <c r="E28" s="78" t="str">
        <f t="shared" si="1"/>
        <v/>
      </c>
      <c r="F28" s="79" t="str">
        <f t="shared" si="2"/>
        <v/>
      </c>
      <c r="G28" s="79" t="str">
        <f t="shared" si="3"/>
        <v/>
      </c>
      <c r="H28" s="54" t="str">
        <f t="shared" si="4"/>
        <v/>
      </c>
    </row>
    <row r="29" spans="1:14" ht="15.75" thickBot="1" x14ac:dyDescent="0.3">
      <c r="A29" s="68" t="str">
        <f>IF(('EDL Processor'!C21+'EDL Processor'!D21+'EDL Processor'!E21) = 0,"", TEXT('EDL Processor'!C21,"00") &amp; ":"  &amp; TEXT('EDL Processor'!D21,"00") &amp;  ":"  &amp; TEXT('EDL Processor'!E21,"00") &amp; " " &amp;  'EDL Processor'!B21)</f>
        <v/>
      </c>
      <c r="B29" s="80" t="str">
        <f t="shared" si="5"/>
        <v/>
      </c>
      <c r="C29" s="85" t="str">
        <f>IFERROR(IF(ISBLANK($A21),"","[["&amp;YT_URL&amp;"?t="&amp;$D22&amp;"|"&amp; IF(LT1Hr = FALSE,MID($A21,1,8), MID($A21,1,5))&amp;"]] " &amp;$H22&amp;"\\"),"")</f>
        <v>[[https://youtu.be/_K-W8S6AVDE?t=3918|01:05:18]] Summary and Wrap Up\\</v>
      </c>
      <c r="D29" s="48" t="e">
        <f t="shared" si="0"/>
        <v>#VALUE!</v>
      </c>
      <c r="E29" s="78" t="str">
        <f t="shared" si="1"/>
        <v/>
      </c>
      <c r="F29" s="79" t="str">
        <f t="shared" si="2"/>
        <v/>
      </c>
      <c r="G29" s="79" t="str">
        <f t="shared" si="3"/>
        <v/>
      </c>
      <c r="H29" s="54" t="str">
        <f t="shared" si="4"/>
        <v/>
      </c>
    </row>
    <row r="30" spans="1:14" ht="15.75" thickBot="1" x14ac:dyDescent="0.3">
      <c r="B30" s="80" t="str">
        <f t="shared" si="5"/>
        <v/>
      </c>
      <c r="C30" s="85" t="str">
        <f>IFERROR(IF(ISBLANK($A22),"","[["&amp;YT_URL&amp;"?t="&amp;$D23&amp;"|"&amp; IF(LT1Hr = FALSE,MID($A22,1,8), MID($A22,1,5))&amp;"]] " &amp;$H23&amp;"\\"),"")</f>
        <v/>
      </c>
      <c r="D30" s="59" t="e">
        <f t="shared" si="0"/>
        <v>#VALUE!</v>
      </c>
      <c r="E30" s="60" t="str">
        <f t="shared" si="1"/>
        <v/>
      </c>
      <c r="F30" s="61" t="str">
        <f t="shared" si="2"/>
        <v/>
      </c>
      <c r="G30" s="61" t="str">
        <f t="shared" si="3"/>
        <v/>
      </c>
      <c r="H30" s="62" t="str">
        <f t="shared" si="4"/>
        <v/>
      </c>
    </row>
    <row r="31" spans="1:14" x14ac:dyDescent="0.25">
      <c r="B31" s="80" t="str">
        <f t="shared" si="5"/>
        <v/>
      </c>
      <c r="C31" s="85" t="str">
        <f>IFERROR(IF(ISBLANK($A23),"","[["&amp;YT_URL&amp;"?t="&amp;$D24&amp;"|"&amp; IF(LT1Hr = FALSE,MID($A23,1,8), MID($A23,1,5))&amp;"]] " &amp;$H24&amp;"\\"),"")</f>
        <v/>
      </c>
      <c r="D31"/>
    </row>
    <row r="32" spans="1:14" x14ac:dyDescent="0.25">
      <c r="B32" s="80" t="str">
        <f>IF(ISBLANK(LongDescription),"",LongDescription)</f>
        <v>In this video Alan Lomax introduces utilizes his new recording studio (Which was purpose built to rival Abbey Road) .</v>
      </c>
      <c r="C32" s="85" t="str">
        <f>IFERROR(IF(ISBLANK($A24),"","[["&amp;YT_URL&amp;"?t="&amp;$D25&amp;"|"&amp; IF(LT1Hr = FALSE,MID($A24,1,8), MID($A24,1,5))&amp;"]] " &amp;$H25&amp;"\\"),"")</f>
        <v/>
      </c>
    </row>
    <row r="33" spans="2:3" ht="15.75" thickBot="1" x14ac:dyDescent="0.3">
      <c r="B33" s="86"/>
      <c r="C33" s="85" t="str">
        <f>IFERROR(IF(ISBLANK($A25),"","[["&amp;YT_URL&amp;"?t="&amp;$D26&amp;"|"&amp; IF(LT1Hr = FALSE,MID($A25,1,8), MID($A25,1,5))&amp;"]] " &amp;$H26&amp;"\\"),"")</f>
        <v/>
      </c>
    </row>
    <row r="34" spans="2:3" x14ac:dyDescent="0.25">
      <c r="C34" s="85" t="str">
        <f>IFERROR(IF(ISBLANK($A26),"","[["&amp;YT_URL&amp;"?t="&amp;$D27&amp;"|"&amp; IF(LT1Hr = FALSE,MID($A26,1,8), MID($A26,1,5))&amp;"]] " &amp;$H27&amp;"\\"),"")</f>
        <v/>
      </c>
    </row>
    <row r="35" spans="2:3" x14ac:dyDescent="0.25">
      <c r="C35" s="85" t="str">
        <f>IFERROR(IF(ISBLANK($A27),"","[["&amp;YT_URL&amp;"?t="&amp;$D28&amp;"|"&amp; IF(LT1Hr = FALSE,MID($A27,1,8), MID($A27,1,5))&amp;"]] " &amp;$H28&amp;"\\"),"")</f>
        <v/>
      </c>
    </row>
    <row r="36" spans="2:3" x14ac:dyDescent="0.25">
      <c r="C36" s="85" t="str">
        <f>IFERROR(IF(ISBLANK($A28),"","[["&amp;YT_URL&amp;"?t="&amp;$D29&amp;"|"&amp; IF(LT1Hr = FALSE,MID($A28,1,8), MID($A28,1,5))&amp;"]] " &amp;$H29&amp;"\\"),"")</f>
        <v/>
      </c>
    </row>
    <row r="37" spans="2:3" x14ac:dyDescent="0.25">
      <c r="C37" s="85" t="str">
        <f>IFERROR(IF(ISBLANK($A29),"","[["&amp;YT_URL&amp;"?t="&amp;$D30&amp;"|"&amp; IF(LT1Hr = FALSE,MID($A29,1,8), MID($A29,1,5))&amp;"]] " &amp;$H30&amp;"\\"),"")</f>
        <v/>
      </c>
    </row>
    <row r="38" spans="2:3" x14ac:dyDescent="0.25">
      <c r="C38" s="87" t="str">
        <f>EndWrap</f>
        <v>&lt;/WRAP&gt;</v>
      </c>
    </row>
    <row r="39" spans="2:3" x14ac:dyDescent="0.25">
      <c r="C39" s="87" t="str">
        <f>WRAPcolumnhalf</f>
        <v>&lt;WRAP column half&gt;</v>
      </c>
    </row>
    <row r="40" spans="2:3" ht="30" x14ac:dyDescent="0.25">
      <c r="C40" s="88" t="str">
        <f>"{{:subjects:msag_youtube_icon.jpg?40 |A YouTube video}} [[" &amp; YT_URL &amp; "|" &amp; VideoTitle &amp; "]] ("&amp; YT_minutes  &amp; " mins) {{youtube&gt;" &amp;  MID(YT_URL,18,99) &amp;  "}}\\"</f>
        <v>{{:subjects:msag_youtube_icon.jpg?40 |A YouTube video}} [[https://youtu.be/_K-W8S6AVDE|Random Bits and Bobs]] (5 mins) {{youtube&gt;_K-W8S6AVDE}}\\</v>
      </c>
    </row>
    <row r="41" spans="2:3" x14ac:dyDescent="0.25">
      <c r="C41" s="87" t="str">
        <f>EndWrap</f>
        <v>&lt;/WRAP&gt;</v>
      </c>
    </row>
    <row r="42" spans="2:3" x14ac:dyDescent="0.25">
      <c r="C42" s="87" t="str">
        <f>EndWrap</f>
        <v>&lt;/WRAP&gt;</v>
      </c>
    </row>
    <row r="43" spans="2:3" x14ac:dyDescent="0.25">
      <c r="C43" s="87" t="str">
        <f>EndWrap</f>
        <v>&lt;/WRAP&gt;</v>
      </c>
    </row>
    <row r="44" spans="2:3" ht="15.75" thickBot="1" x14ac:dyDescent="0.3">
      <c r="C44" s="89" t="s">
        <v>23</v>
      </c>
    </row>
  </sheetData>
  <mergeCells count="2">
    <mergeCell ref="D9:N9"/>
    <mergeCell ref="J11:N11"/>
  </mergeCell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4033" r:id="rId4" name="btn_Select_EDL_File">
          <controlPr defaultSize="0" autoLine="0" r:id="rId5">
            <anchor moveWithCells="1">
              <from>
                <xdr:col>2</xdr:col>
                <xdr:colOff>1409700</xdr:colOff>
                <xdr:row>2</xdr:row>
                <xdr:rowOff>123825</xdr:rowOff>
              </from>
              <to>
                <xdr:col>2</xdr:col>
                <xdr:colOff>2771775</xdr:colOff>
                <xdr:row>4</xdr:row>
                <xdr:rowOff>85725</xdr:rowOff>
              </to>
            </anchor>
          </controlPr>
        </control>
      </mc:Choice>
      <mc:Fallback>
        <control shapeId="44033" r:id="rId4" name="btn_Select_EDL_Fi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C00000"/>
  </sheetPr>
  <dimension ref="A1:N44"/>
  <sheetViews>
    <sheetView workbookViewId="0">
      <selection activeCell="B2" sqref="B2"/>
    </sheetView>
  </sheetViews>
  <sheetFormatPr defaultRowHeight="15" x14ac:dyDescent="0.25"/>
  <cols>
    <col min="1" max="1" width="39.42578125" customWidth="1"/>
    <col min="2" max="2" width="91.85546875" customWidth="1"/>
    <col min="3" max="3" width="81.5703125" style="1" bestFit="1" customWidth="1"/>
    <col min="4" max="4" width="13.42578125" style="1" customWidth="1"/>
    <col min="5" max="5" width="9.5703125" customWidth="1"/>
    <col min="8" max="8" width="31.7109375" bestFit="1" customWidth="1"/>
    <col min="9" max="9" width="34.42578125" customWidth="1"/>
    <col min="10" max="10" width="34" customWidth="1"/>
  </cols>
  <sheetData>
    <row r="1" spans="1:14" ht="15.75" thickBot="1" x14ac:dyDescent="0.3">
      <c r="A1" s="43"/>
      <c r="B1" s="44" t="s">
        <v>17</v>
      </c>
      <c r="C1" s="73" t="s">
        <v>65</v>
      </c>
    </row>
    <row r="2" spans="1:14" ht="17.25" customHeight="1" thickBot="1" x14ac:dyDescent="0.3">
      <c r="A2" s="3" t="s">
        <v>5</v>
      </c>
      <c r="B2" s="63" t="s">
        <v>34</v>
      </c>
      <c r="C2" s="74" t="s">
        <v>133</v>
      </c>
    </row>
    <row r="3" spans="1:14" x14ac:dyDescent="0.25">
      <c r="A3" s="4" t="s">
        <v>24</v>
      </c>
      <c r="B3" s="64" t="s">
        <v>30</v>
      </c>
    </row>
    <row r="4" spans="1:14" x14ac:dyDescent="0.25">
      <c r="A4" s="4" t="s">
        <v>25</v>
      </c>
      <c r="B4" s="64" t="s">
        <v>29</v>
      </c>
      <c r="D4"/>
    </row>
    <row r="5" spans="1:14" x14ac:dyDescent="0.25">
      <c r="A5" s="4" t="s">
        <v>15</v>
      </c>
      <c r="B5" s="64" t="s">
        <v>28</v>
      </c>
      <c r="D5"/>
    </row>
    <row r="6" spans="1:14" ht="15.75" thickBot="1" x14ac:dyDescent="0.3">
      <c r="A6" s="5" t="s">
        <v>48</v>
      </c>
      <c r="B6" s="65">
        <v>99</v>
      </c>
      <c r="C6" s="73" t="s">
        <v>131</v>
      </c>
      <c r="D6"/>
    </row>
    <row r="7" spans="1:14" ht="15.75" thickBot="1" x14ac:dyDescent="0.3">
      <c r="A7" s="4" t="s">
        <v>26</v>
      </c>
      <c r="B7" s="64" t="s">
        <v>6</v>
      </c>
      <c r="C7" s="77" t="str">
        <f ca="1">RIGHT(CELL("filename"),LEN(CELL("filename"))-FIND("]",CELL("filename")))</f>
        <v>Revision Control</v>
      </c>
    </row>
    <row r="8" spans="1:14" ht="48" customHeight="1" thickBot="1" x14ac:dyDescent="0.3">
      <c r="A8" s="4" t="s">
        <v>27</v>
      </c>
      <c r="B8" s="66" t="s">
        <v>49</v>
      </c>
    </row>
    <row r="9" spans="1:14" ht="19.5" thickBot="1" x14ac:dyDescent="0.35">
      <c r="A9" s="40" t="s">
        <v>19</v>
      </c>
      <c r="B9" s="42" t="s">
        <v>9</v>
      </c>
      <c r="C9" s="41" t="s">
        <v>8</v>
      </c>
      <c r="D9" s="105" t="s">
        <v>20</v>
      </c>
      <c r="E9" s="106"/>
      <c r="F9" s="106"/>
      <c r="G9" s="106"/>
      <c r="H9" s="106"/>
      <c r="I9" s="106"/>
      <c r="J9" s="106"/>
      <c r="K9" s="106"/>
      <c r="L9" s="106"/>
      <c r="M9" s="106"/>
      <c r="N9" s="107"/>
    </row>
    <row r="10" spans="1:14" ht="15.75" thickBot="1" x14ac:dyDescent="0.3">
      <c r="A10" s="67" t="str">
        <f>IF(('EDL Processor'!C2+'EDL Processor'!D2+'EDL Processor'!E2) = 0,"00:00:00 Start", TEXT('EDL Processor'!C2,"00") &amp; ":"  &amp; TEXT('EDL Processor'!D2,"00") &amp;  ":"  &amp; TEXT('EDL Processor'!E2,"00") &amp; " " &amp;  'EDL Processor'!B2)</f>
        <v>00:00:12 Start</v>
      </c>
      <c r="B10" s="80" t="str">
        <f>OneLineDescription</f>
        <v>One Line Description</v>
      </c>
      <c r="C10" s="81" t="str">
        <f>WRAPbox</f>
        <v>&lt;WRAP box&gt;</v>
      </c>
      <c r="D10" s="69" t="s">
        <v>4</v>
      </c>
      <c r="E10" s="70" t="s">
        <v>0</v>
      </c>
      <c r="F10" s="70" t="s">
        <v>1</v>
      </c>
      <c r="G10" s="70" t="s">
        <v>2</v>
      </c>
      <c r="H10" s="71" t="s">
        <v>3</v>
      </c>
    </row>
    <row r="11" spans="1:14" ht="45" x14ac:dyDescent="0.25">
      <c r="A11" s="67" t="str">
        <f>IF(('EDL Processor'!C3+'EDL Processor'!D3+'EDL Processor'!E3) = 0,"", TEXT('EDL Processor'!C3,"00") &amp; ":"  &amp; TEXT('EDL Processor'!D3,"00") &amp;  ":"  &amp; TEXT('EDL Processor'!E3,"00") &amp; " " &amp;  'EDL Processor'!B3)</f>
        <v>00:02:14 Topics</v>
      </c>
      <c r="B11" s="82" t="str">
        <f xml:space="preserve"> YT_Show_More</f>
        <v>Press 'Show More' to review the timeline and jump to a specific chapter.
Timeline:</v>
      </c>
      <c r="C11" s="83" t="str">
        <f xml:space="preserve"> "=====" &amp; BoxTitle &amp; "====="</f>
        <v>====={Box Title Goes Here}=====</v>
      </c>
      <c r="D11" s="55">
        <f t="shared" ref="D11:D30" si="0">(3600*E11)+(60*F11)+G11</f>
        <v>12</v>
      </c>
      <c r="E11" s="56" t="str">
        <f t="shared" ref="E11:E30" si="1">MID($A10,1,2)</f>
        <v>00</v>
      </c>
      <c r="F11" s="57" t="str">
        <f>MID($A10,4,2)</f>
        <v>00</v>
      </c>
      <c r="G11" s="57" t="str">
        <f>MID($A10,7,2)</f>
        <v>12</v>
      </c>
      <c r="H11" s="58" t="str">
        <f>MID($A10,10,99)</f>
        <v>Start</v>
      </c>
      <c r="I11" s="45" t="s">
        <v>7</v>
      </c>
      <c r="J11" s="108" t="s">
        <v>11</v>
      </c>
      <c r="K11" s="109"/>
      <c r="L11" s="109"/>
      <c r="M11" s="109"/>
      <c r="N11" s="110"/>
    </row>
    <row r="12" spans="1:14" x14ac:dyDescent="0.25">
      <c r="A12" s="67" t="str">
        <f>IF(('EDL Processor'!C4+'EDL Processor'!D4+'EDL Processor'!E4) = 0,"", TEXT('EDL Processor'!C4,"00") &amp; ":"  &amp; TEXT('EDL Processor'!D4,"00") &amp;  ":"  &amp; TEXT('EDL Processor'!E4,"00") &amp; " " &amp;  'EDL Processor'!B4)</f>
        <v>00:03:14 What is RFID?</v>
      </c>
      <c r="B12" s="80" t="str">
        <f>IF(A10="Paste timeline here ONLY","",IF(ISBLANK(A10),"",A10))</f>
        <v>00:00:12 Start</v>
      </c>
      <c r="C12" s="83" t="str">
        <f xml:space="preserve"> "====" &amp; txtDateTime &amp; "===="</f>
        <v>===={Date of Zoom Call or When Published}====</v>
      </c>
      <c r="D12" s="48">
        <f t="shared" si="0"/>
        <v>134</v>
      </c>
      <c r="E12" s="78" t="str">
        <f t="shared" si="1"/>
        <v>00</v>
      </c>
      <c r="F12" s="79" t="str">
        <f>MID($A11,4,2)</f>
        <v>02</v>
      </c>
      <c r="G12" s="79" t="str">
        <f>MID($A11,7,2)</f>
        <v>14</v>
      </c>
      <c r="H12" s="54" t="str">
        <f>MID($A11,10,99)</f>
        <v>Topics</v>
      </c>
      <c r="I12" s="45" t="s">
        <v>10</v>
      </c>
      <c r="J12" s="48" t="s">
        <v>12</v>
      </c>
      <c r="K12" s="46"/>
      <c r="L12" s="46"/>
      <c r="M12" s="46"/>
      <c r="N12" s="47"/>
    </row>
    <row r="13" spans="1:14" x14ac:dyDescent="0.25">
      <c r="A13" s="67" t="str">
        <f>IF(('EDL Processor'!C5+'EDL Processor'!D5+'EDL Processor'!E5) = 0,"", TEXT('EDL Processor'!C5,"00") &amp; ":"  &amp; TEXT('EDL Processor'!D5,"00") &amp;  ":"  &amp; TEXT('EDL Processor'!E5,"00") &amp; " " &amp;  'EDL Processor'!B5)</f>
        <v>00:08:33 RFID Vocabulary</v>
      </c>
      <c r="B13" s="80" t="str">
        <f>IF(ISBLANK(A11),"",A11)</f>
        <v>00:02:14 Topics</v>
      </c>
      <c r="C13" s="83" t="str">
        <f xml:space="preserve"> "===" &amp; VideoTitle &amp; "==="</f>
        <v>==={Video Title}===</v>
      </c>
      <c r="D13" s="48">
        <f t="shared" si="0"/>
        <v>194</v>
      </c>
      <c r="E13" s="78" t="str">
        <f t="shared" si="1"/>
        <v>00</v>
      </c>
      <c r="F13" s="79" t="str">
        <f t="shared" ref="F13:F30" si="2">MID($A12,4,2)</f>
        <v>03</v>
      </c>
      <c r="G13" s="79" t="str">
        <f t="shared" ref="G13:G30" si="3">MID($A12,7,2)</f>
        <v>14</v>
      </c>
      <c r="H13" s="54" t="str">
        <f t="shared" ref="H13:H30" si="4">MID($A12,10,99)</f>
        <v>What is RFID?</v>
      </c>
      <c r="I13" s="45" t="s">
        <v>10</v>
      </c>
      <c r="J13" s="48" t="s">
        <v>13</v>
      </c>
      <c r="K13" s="49"/>
      <c r="L13" s="49"/>
      <c r="M13" s="49"/>
      <c r="N13" s="50"/>
    </row>
    <row r="14" spans="1:14" x14ac:dyDescent="0.25">
      <c r="A14" s="67" t="str">
        <f>IF(('EDL Processor'!C6+'EDL Processor'!D6+'EDL Processor'!E6) = 0,"", TEXT('EDL Processor'!C6,"00") &amp; ":"  &amp; TEXT('EDL Processor'!D6,"00") &amp;  ":"  &amp; TEXT('EDL Processor'!E6,"00") &amp; " " &amp;  'EDL Processor'!B6)</f>
        <v>00:20:33 Vocabulary Summary  in Pictures</v>
      </c>
      <c r="B14" s="80" t="str">
        <f t="shared" ref="B14:B31" si="5">IF(ISBLANK(A12),"",A12)</f>
        <v>00:03:14 What is RFID?</v>
      </c>
      <c r="C14" s="83" t="str">
        <f>WRAPcolumn</f>
        <v>&lt;WRAP column&gt;</v>
      </c>
      <c r="D14" s="48">
        <f t="shared" si="0"/>
        <v>513</v>
      </c>
      <c r="E14" s="78" t="str">
        <f t="shared" si="1"/>
        <v>00</v>
      </c>
      <c r="F14" s="79" t="str">
        <f t="shared" si="2"/>
        <v>08</v>
      </c>
      <c r="G14" s="79" t="str">
        <f t="shared" si="3"/>
        <v>33</v>
      </c>
      <c r="H14" s="54" t="str">
        <f t="shared" si="4"/>
        <v>RFID Vocabulary</v>
      </c>
      <c r="I14" s="45" t="s">
        <v>10</v>
      </c>
      <c r="J14" s="48" t="s">
        <v>14</v>
      </c>
      <c r="K14" s="49"/>
      <c r="L14" s="49"/>
      <c r="M14" s="49"/>
      <c r="N14" s="50"/>
    </row>
    <row r="15" spans="1:14" x14ac:dyDescent="0.25">
      <c r="A15" s="67" t="str">
        <f>IF(('EDL Processor'!C7+'EDL Processor'!D7+'EDL Processor'!E7) = 0,"", TEXT('EDL Processor'!C7,"00") &amp; ":"  &amp; TEXT('EDL Processor'!D7,"00") &amp;  ":"  &amp; TEXT('EDL Processor'!E7,"00") &amp; " " &amp;  'EDL Processor'!B7)</f>
        <v>00:22:08 RFID Standards</v>
      </c>
      <c r="B15" s="80" t="str">
        <f t="shared" si="5"/>
        <v>00:08:33 RFID Vocabulary</v>
      </c>
      <c r="C15" s="83" t="str">
        <f>WRAPcolumnhalf</f>
        <v>&lt;WRAP column half&gt;</v>
      </c>
      <c r="D15" s="48">
        <f t="shared" si="0"/>
        <v>1233</v>
      </c>
      <c r="E15" s="78" t="str">
        <f t="shared" si="1"/>
        <v>00</v>
      </c>
      <c r="F15" s="79" t="str">
        <f t="shared" si="2"/>
        <v>20</v>
      </c>
      <c r="G15" s="79" t="str">
        <f t="shared" si="3"/>
        <v>33</v>
      </c>
      <c r="H15" s="54" t="str">
        <f t="shared" si="4"/>
        <v>Vocabulary Summary  in Pictures</v>
      </c>
      <c r="I15" s="45" t="s">
        <v>10</v>
      </c>
      <c r="J15" s="51" t="s">
        <v>16</v>
      </c>
      <c r="K15" s="49"/>
      <c r="L15" s="49"/>
      <c r="M15" s="49"/>
      <c r="N15" s="50"/>
    </row>
    <row r="16" spans="1:14" x14ac:dyDescent="0.25">
      <c r="A16" s="67" t="str">
        <f>IF(('EDL Processor'!C8+'EDL Processor'!D8+'EDL Processor'!E8) = 0,"", TEXT('EDL Processor'!C8,"00") &amp; ":"  &amp; TEXT('EDL Processor'!D8,"00") &amp;  ":"  &amp; TEXT('EDL Processor'!E8,"00") &amp; " " &amp;  'EDL Processor'!B8)</f>
        <v>00:24:57 Choice of Frequency</v>
      </c>
      <c r="B16" s="80" t="str">
        <f t="shared" si="5"/>
        <v>00:20:33 Vocabulary Summary  in Pictures</v>
      </c>
      <c r="C16" s="84" t="str">
        <f>LongDescription</f>
        <v>Long Description here. Use \\ as EOL marker to force a new line on Wiki.</v>
      </c>
      <c r="D16" s="48">
        <f t="shared" si="0"/>
        <v>1328</v>
      </c>
      <c r="E16" s="78" t="str">
        <f t="shared" si="1"/>
        <v>00</v>
      </c>
      <c r="F16" s="79" t="str">
        <f t="shared" si="2"/>
        <v>22</v>
      </c>
      <c r="G16" s="79" t="str">
        <f t="shared" si="3"/>
        <v>08</v>
      </c>
      <c r="H16" s="54" t="str">
        <f t="shared" si="4"/>
        <v>RFID Standards</v>
      </c>
      <c r="I16" s="45" t="s">
        <v>10</v>
      </c>
      <c r="J16" s="52" t="s">
        <v>22</v>
      </c>
      <c r="K16" s="53"/>
      <c r="L16" s="53"/>
      <c r="M16" s="53"/>
      <c r="N16" s="54"/>
    </row>
    <row r="17" spans="1:14" x14ac:dyDescent="0.25">
      <c r="A17" s="67" t="str">
        <f>IF(('EDL Processor'!C9+'EDL Processor'!D9+'EDL Processor'!E9) = 0,"", TEXT('EDL Processor'!C9,"00") &amp; ":"  &amp; TEXT('EDL Processor'!D9,"00") &amp;  ":"  &amp; TEXT('EDL Processor'!E9,"00") &amp; " " &amp;  'EDL Processor'!B9)</f>
        <v>00:26:22 Q&amp;A Intermission</v>
      </c>
      <c r="B17" s="80" t="str">
        <f t="shared" si="5"/>
        <v>00:22:08 RFID Standards</v>
      </c>
      <c r="C17" s="84" t="str">
        <f>EOL</f>
        <v>\\</v>
      </c>
      <c r="D17" s="48">
        <f t="shared" si="0"/>
        <v>1497</v>
      </c>
      <c r="E17" s="78" t="str">
        <f t="shared" si="1"/>
        <v>00</v>
      </c>
      <c r="F17" s="79" t="str">
        <f t="shared" si="2"/>
        <v>24</v>
      </c>
      <c r="G17" s="79" t="str">
        <f t="shared" si="3"/>
        <v>57</v>
      </c>
      <c r="H17" s="54" t="str">
        <f t="shared" si="4"/>
        <v>Choice of Frequency</v>
      </c>
      <c r="I17" s="45"/>
      <c r="J17" s="52"/>
      <c r="K17" s="53"/>
      <c r="L17" s="53"/>
      <c r="M17" s="53"/>
      <c r="N17" s="54"/>
    </row>
    <row r="18" spans="1:14" x14ac:dyDescent="0.25">
      <c r="A18" s="67" t="str">
        <f>IF(('EDL Processor'!C10+'EDL Processor'!D10+'EDL Processor'!E10) = 0,"", TEXT('EDL Processor'!C10,"00") &amp; ":"  &amp; TEXT('EDL Processor'!D10,"00") &amp;  ":"  &amp; TEXT('EDL Processor'!E10,"00") &amp; " " &amp;  'EDL Processor'!B10)</f>
        <v>00:38:57 Example: RF Field Strength Tester</v>
      </c>
      <c r="B18" s="80" t="str">
        <f t="shared" si="5"/>
        <v>00:24:57 Choice of Frequency</v>
      </c>
      <c r="C18" s="85" t="str">
        <f>IFERROR(IF(ISBLANK($A10),"","[["&amp;YT_URL&amp;"?t="&amp;$D11&amp;"|"&amp; IF(LT1Hr = FALSE,MID($A10,1,8), MID($A10,1,5))&amp;"]] " &amp;$H11&amp;"\\"),"")</f>
        <v>[[YouTube_URL Goes Here?t=12|00:00:12]] Start\\</v>
      </c>
      <c r="D18" s="48">
        <f t="shared" si="0"/>
        <v>1582</v>
      </c>
      <c r="E18" s="78" t="str">
        <f t="shared" si="1"/>
        <v>00</v>
      </c>
      <c r="F18" s="79" t="str">
        <f t="shared" si="2"/>
        <v>26</v>
      </c>
      <c r="G18" s="79" t="str">
        <f t="shared" si="3"/>
        <v>22</v>
      </c>
      <c r="H18" s="54" t="str">
        <f t="shared" si="4"/>
        <v>Q&amp;A Intermission</v>
      </c>
    </row>
    <row r="19" spans="1:14" x14ac:dyDescent="0.25">
      <c r="A19" s="67" t="str">
        <f>IF(('EDL Processor'!C11+'EDL Processor'!D11+'EDL Processor'!E11) = 0,"", TEXT('EDL Processor'!C11,"00") &amp; ":"  &amp; TEXT('EDL Processor'!D11,"00") &amp;  ":"  &amp; TEXT('EDL Processor'!E11,"00") &amp; " " &amp;  'EDL Processor'!B11)</f>
        <v>00:48:39 Part 2 - RFID Usage Cases</v>
      </c>
      <c r="B19" s="80" t="str">
        <f t="shared" si="5"/>
        <v>00:26:22 Q&amp;A Intermission</v>
      </c>
      <c r="C19" s="85" t="str">
        <f>IFERROR(IF(ISBLANK($A11),"","[["&amp;YT_URL&amp;"?t="&amp;$D12&amp;"|"&amp; IF(LT1Hr = FALSE,MID($A11,1,8), MID($A11,1,5))&amp;"]] " &amp;$H12&amp;"\\"),"")</f>
        <v>[[YouTube_URL Goes Here?t=134|00:02:14]] Topics\\</v>
      </c>
      <c r="D19" s="48">
        <f t="shared" si="0"/>
        <v>2337</v>
      </c>
      <c r="E19" s="78" t="str">
        <f t="shared" si="1"/>
        <v>00</v>
      </c>
      <c r="F19" s="79" t="str">
        <f t="shared" si="2"/>
        <v>38</v>
      </c>
      <c r="G19" s="79" t="str">
        <f t="shared" si="3"/>
        <v>57</v>
      </c>
      <c r="H19" s="54" t="str">
        <f t="shared" si="4"/>
        <v>Example: RF Field Strength Tester</v>
      </c>
    </row>
    <row r="20" spans="1:14" x14ac:dyDescent="0.25">
      <c r="A20" s="67" t="str">
        <f>IF(('EDL Processor'!C12+'EDL Processor'!D12+'EDL Processor'!E12) = 0,"", TEXT('EDL Processor'!C12,"00") &amp; ":"  &amp; TEXT('EDL Processor'!D12,"00") &amp;  ":"  &amp; TEXT('EDL Processor'!E12,"00") &amp; " " &amp;  'EDL Processor'!B12)</f>
        <v>00:56:09 Multiple Data Consumers</v>
      </c>
      <c r="B20" s="80" t="str">
        <f t="shared" si="5"/>
        <v>00:38:57 Example: RF Field Strength Tester</v>
      </c>
      <c r="C20" s="85" t="str">
        <f>IFERROR(IF(ISBLANK($A12),"","[["&amp;YT_URL&amp;"?t="&amp;$D13&amp;"|"&amp; IF(LT1Hr = FALSE,MID($A12,1,8), MID($A12,1,5))&amp;"]] " &amp;$H13&amp;"\\"),"")</f>
        <v>[[YouTube_URL Goes Here?t=194|00:03:14]] What is RFID?\\</v>
      </c>
      <c r="D20" s="48">
        <f t="shared" si="0"/>
        <v>2919</v>
      </c>
      <c r="E20" s="78" t="str">
        <f t="shared" si="1"/>
        <v>00</v>
      </c>
      <c r="F20" s="79" t="str">
        <f t="shared" si="2"/>
        <v>48</v>
      </c>
      <c r="G20" s="79" t="str">
        <f t="shared" si="3"/>
        <v>39</v>
      </c>
      <c r="H20" s="54" t="str">
        <f t="shared" si="4"/>
        <v>Part 2 - RFID Usage Cases</v>
      </c>
    </row>
    <row r="21" spans="1:14" x14ac:dyDescent="0.25">
      <c r="A21" s="67" t="str">
        <f>IF(('EDL Processor'!C13+'EDL Processor'!D13+'EDL Processor'!E13) = 0,"", TEXT('EDL Processor'!C13,"00") &amp; ":"  &amp; TEXT('EDL Processor'!D13,"00") &amp;  ":"  &amp; TEXT('EDL Processor'!E13,"00") &amp; " " &amp;  'EDL Processor'!B13)</f>
        <v>01:05:18 Summary and Wrap Up</v>
      </c>
      <c r="B21" s="80" t="str">
        <f t="shared" si="5"/>
        <v>00:48:39 Part 2 - RFID Usage Cases</v>
      </c>
      <c r="C21" s="85" t="str">
        <f>IFERROR(IF(ISBLANK($A13),"","[["&amp;YT_URL&amp;"?t="&amp;$D14&amp;"|"&amp; IF(LT1Hr = FALSE,MID($A13,1,8), MID($A13,1,5))&amp;"]] " &amp;$H14&amp;"\\"),"")</f>
        <v>[[YouTube_URL Goes Here?t=513|00:08:33]] RFID Vocabulary\\</v>
      </c>
      <c r="D21" s="48">
        <f t="shared" si="0"/>
        <v>3369</v>
      </c>
      <c r="E21" s="78" t="str">
        <f t="shared" si="1"/>
        <v>00</v>
      </c>
      <c r="F21" s="79" t="str">
        <f t="shared" si="2"/>
        <v>56</v>
      </c>
      <c r="G21" s="79" t="str">
        <f t="shared" si="3"/>
        <v>09</v>
      </c>
      <c r="H21" s="54" t="str">
        <f t="shared" si="4"/>
        <v>Multiple Data Consumers</v>
      </c>
    </row>
    <row r="22" spans="1:14" x14ac:dyDescent="0.25">
      <c r="A22" s="67" t="str">
        <f>IF(('EDL Processor'!C14+'EDL Processor'!D14+'EDL Processor'!E14) = 0,"", TEXT('EDL Processor'!C14,"00") &amp; ":"  &amp; TEXT('EDL Processor'!D14,"00") &amp;  ":"  &amp; TEXT('EDL Processor'!E14,"00") &amp; " " &amp;  'EDL Processor'!B14)</f>
        <v/>
      </c>
      <c r="B22" s="80" t="str">
        <f t="shared" si="5"/>
        <v>00:56:09 Multiple Data Consumers</v>
      </c>
      <c r="C22" s="85" t="str">
        <f>IFERROR(IF(ISBLANK($A14),"","[["&amp;YT_URL&amp;"?t="&amp;$D15&amp;"|"&amp; IF(LT1Hr = FALSE,MID($A14,1,8), MID($A14,1,5))&amp;"]] " &amp;$H15&amp;"\\"),"")</f>
        <v>[[YouTube_URL Goes Here?t=1233|00:20:33]] Vocabulary Summary  in Pictures\\</v>
      </c>
      <c r="D22" s="48">
        <f t="shared" si="0"/>
        <v>3918</v>
      </c>
      <c r="E22" s="78" t="str">
        <f t="shared" si="1"/>
        <v>01</v>
      </c>
      <c r="F22" s="79" t="str">
        <f t="shared" si="2"/>
        <v>05</v>
      </c>
      <c r="G22" s="79" t="str">
        <f t="shared" si="3"/>
        <v>18</v>
      </c>
      <c r="H22" s="54" t="str">
        <f t="shared" si="4"/>
        <v>Summary and Wrap Up</v>
      </c>
    </row>
    <row r="23" spans="1:14" x14ac:dyDescent="0.25">
      <c r="A23" s="67" t="str">
        <f>IF(('EDL Processor'!C15+'EDL Processor'!D15+'EDL Processor'!E15) = 0,"", TEXT('EDL Processor'!C15,"00") &amp; ":"  &amp; TEXT('EDL Processor'!D15,"00") &amp;  ":"  &amp; TEXT('EDL Processor'!E15,"00") &amp; " " &amp;  'EDL Processor'!B15)</f>
        <v/>
      </c>
      <c r="B23" s="80" t="str">
        <f t="shared" si="5"/>
        <v>01:05:18 Summary and Wrap Up</v>
      </c>
      <c r="C23" s="85" t="str">
        <f>IFERROR(IF(ISBLANK($A15),"","[["&amp;YT_URL&amp;"?t="&amp;$D16&amp;"|"&amp; IF(LT1Hr = FALSE,MID($A15,1,8), MID($A15,1,5))&amp;"]] " &amp;$H16&amp;"\\"),"")</f>
        <v>[[YouTube_URL Goes Here?t=1328|00:22:08]] RFID Standards\\</v>
      </c>
      <c r="D23" s="48" t="e">
        <f t="shared" si="0"/>
        <v>#VALUE!</v>
      </c>
      <c r="E23" s="78" t="str">
        <f t="shared" si="1"/>
        <v/>
      </c>
      <c r="F23" s="79" t="str">
        <f t="shared" si="2"/>
        <v/>
      </c>
      <c r="G23" s="79" t="str">
        <f t="shared" si="3"/>
        <v/>
      </c>
      <c r="H23" s="54" t="str">
        <f t="shared" si="4"/>
        <v/>
      </c>
    </row>
    <row r="24" spans="1:14" x14ac:dyDescent="0.25">
      <c r="A24" s="67" t="str">
        <f>IF(('EDL Processor'!C16+'EDL Processor'!D16+'EDL Processor'!E16) = 0,"", TEXT('EDL Processor'!C16,"00") &amp; ":"  &amp; TEXT('EDL Processor'!D16,"00") &amp;  ":"  &amp; TEXT('EDL Processor'!E16,"00") &amp; " " &amp;  'EDL Processor'!B16)</f>
        <v/>
      </c>
      <c r="B24" s="80" t="str">
        <f t="shared" si="5"/>
        <v/>
      </c>
      <c r="C24" s="85" t="str">
        <f>IFERROR(IF(ISBLANK($A16),"","[["&amp;YT_URL&amp;"?t="&amp;$D17&amp;"|"&amp; IF(LT1Hr = FALSE,MID($A16,1,8), MID($A16,1,5))&amp;"]] " &amp;$H17&amp;"\\"),"")</f>
        <v>[[YouTube_URL Goes Here?t=1497|00:24:57]] Choice of Frequency\\</v>
      </c>
      <c r="D24" s="48" t="e">
        <f t="shared" si="0"/>
        <v>#VALUE!</v>
      </c>
      <c r="E24" s="78" t="str">
        <f t="shared" si="1"/>
        <v/>
      </c>
      <c r="F24" s="79" t="str">
        <f t="shared" si="2"/>
        <v/>
      </c>
      <c r="G24" s="79" t="str">
        <f t="shared" si="3"/>
        <v/>
      </c>
      <c r="H24" s="54" t="str">
        <f t="shared" si="4"/>
        <v/>
      </c>
    </row>
    <row r="25" spans="1:14" x14ac:dyDescent="0.25">
      <c r="A25" s="67" t="str">
        <f>IF(('EDL Processor'!C17+'EDL Processor'!D17+'EDL Processor'!E17) = 0,"", TEXT('EDL Processor'!C17,"00") &amp; ":"  &amp; TEXT('EDL Processor'!D17,"00") &amp;  ":"  &amp; TEXT('EDL Processor'!E17,"00") &amp; " " &amp;  'EDL Processor'!B17)</f>
        <v/>
      </c>
      <c r="B25" s="80" t="str">
        <f t="shared" si="5"/>
        <v/>
      </c>
      <c r="C25" s="85" t="str">
        <f>IFERROR(IF(ISBLANK($A17),"","[["&amp;YT_URL&amp;"?t="&amp;$D18&amp;"|"&amp; IF(LT1Hr = FALSE,MID($A17,1,8), MID($A17,1,5))&amp;"]] " &amp;$H18&amp;"\\"),"")</f>
        <v>[[YouTube_URL Goes Here?t=1582|00:26:22]] Q&amp;A Intermission\\</v>
      </c>
      <c r="D25" s="48" t="e">
        <f t="shared" si="0"/>
        <v>#VALUE!</v>
      </c>
      <c r="E25" s="78" t="str">
        <f t="shared" si="1"/>
        <v/>
      </c>
      <c r="F25" s="79" t="str">
        <f t="shared" si="2"/>
        <v/>
      </c>
      <c r="G25" s="79" t="str">
        <f t="shared" si="3"/>
        <v/>
      </c>
      <c r="H25" s="54" t="str">
        <f t="shared" si="4"/>
        <v/>
      </c>
    </row>
    <row r="26" spans="1:14" x14ac:dyDescent="0.25">
      <c r="A26" s="67" t="str">
        <f>IF(('EDL Processor'!C18+'EDL Processor'!D18+'EDL Processor'!E18) = 0,"", TEXT('EDL Processor'!C18,"00") &amp; ":"  &amp; TEXT('EDL Processor'!D18,"00") &amp;  ":"  &amp; TEXT('EDL Processor'!E18,"00") &amp; " " &amp;  'EDL Processor'!B18)</f>
        <v/>
      </c>
      <c r="B26" s="80" t="str">
        <f t="shared" si="5"/>
        <v/>
      </c>
      <c r="C26" s="85" t="str">
        <f>IFERROR(IF(ISBLANK($A18),"","[["&amp;YT_URL&amp;"?t="&amp;$D19&amp;"|"&amp; IF(LT1Hr = FALSE,MID($A18,1,8), MID($A18,1,5))&amp;"]] " &amp;$H19&amp;"\\"),"")</f>
        <v>[[YouTube_URL Goes Here?t=2337|00:38:57]] Example: RF Field Strength Tester\\</v>
      </c>
      <c r="D26" s="48" t="e">
        <f t="shared" si="0"/>
        <v>#VALUE!</v>
      </c>
      <c r="E26" s="78" t="str">
        <f t="shared" si="1"/>
        <v/>
      </c>
      <c r="F26" s="79" t="str">
        <f t="shared" si="2"/>
        <v/>
      </c>
      <c r="G26" s="79" t="str">
        <f t="shared" si="3"/>
        <v/>
      </c>
      <c r="H26" s="54" t="str">
        <f t="shared" si="4"/>
        <v/>
      </c>
    </row>
    <row r="27" spans="1:14" x14ac:dyDescent="0.25">
      <c r="A27" s="67" t="str">
        <f>IF(('EDL Processor'!C19+'EDL Processor'!D19+'EDL Processor'!E19) = 0,"", TEXT('EDL Processor'!C19,"00") &amp; ":"  &amp; TEXT('EDL Processor'!D19,"00") &amp;  ":"  &amp; TEXT('EDL Processor'!E19,"00") &amp; " " &amp;  'EDL Processor'!B19)</f>
        <v/>
      </c>
      <c r="B27" s="80" t="str">
        <f t="shared" si="5"/>
        <v/>
      </c>
      <c r="C27" s="85" t="str">
        <f>IFERROR(IF(ISBLANK($A19),"","[["&amp;YT_URL&amp;"?t="&amp;$D20&amp;"|"&amp; IF(LT1Hr = FALSE,MID($A19,1,8), MID($A19,1,5))&amp;"]] " &amp;$H20&amp;"\\"),"")</f>
        <v>[[YouTube_URL Goes Here?t=2919|00:48:39]] Part 2 - RFID Usage Cases\\</v>
      </c>
      <c r="D27" s="48" t="e">
        <f t="shared" si="0"/>
        <v>#VALUE!</v>
      </c>
      <c r="E27" s="78" t="str">
        <f t="shared" si="1"/>
        <v/>
      </c>
      <c r="F27" s="79" t="str">
        <f t="shared" si="2"/>
        <v/>
      </c>
      <c r="G27" s="79" t="str">
        <f t="shared" si="3"/>
        <v/>
      </c>
      <c r="H27" s="54" t="str">
        <f t="shared" si="4"/>
        <v/>
      </c>
    </row>
    <row r="28" spans="1:14" x14ac:dyDescent="0.25">
      <c r="A28" s="67" t="str">
        <f>IF(('EDL Processor'!C20+'EDL Processor'!D20+'EDL Processor'!E20) = 0,"", TEXT('EDL Processor'!C20,"00") &amp; ":"  &amp; TEXT('EDL Processor'!D20,"00") &amp;  ":"  &amp; TEXT('EDL Processor'!E20,"00") &amp; " " &amp;  'EDL Processor'!B20)</f>
        <v/>
      </c>
      <c r="B28" s="80" t="str">
        <f t="shared" si="5"/>
        <v/>
      </c>
      <c r="C28" s="85" t="str">
        <f>IFERROR(IF(ISBLANK($A20),"","[["&amp;YT_URL&amp;"?t="&amp;$D21&amp;"|"&amp; IF(LT1Hr = FALSE,MID($A20,1,8), MID($A20,1,5))&amp;"]] " &amp;$H21&amp;"\\"),"")</f>
        <v>[[YouTube_URL Goes Here?t=3369|00:56:09]] Multiple Data Consumers\\</v>
      </c>
      <c r="D28" s="48" t="e">
        <f t="shared" si="0"/>
        <v>#VALUE!</v>
      </c>
      <c r="E28" s="78" t="str">
        <f t="shared" si="1"/>
        <v/>
      </c>
      <c r="F28" s="79" t="str">
        <f t="shared" si="2"/>
        <v/>
      </c>
      <c r="G28" s="79" t="str">
        <f t="shared" si="3"/>
        <v/>
      </c>
      <c r="H28" s="54" t="str">
        <f t="shared" si="4"/>
        <v/>
      </c>
    </row>
    <row r="29" spans="1:14" ht="15.75" thickBot="1" x14ac:dyDescent="0.3">
      <c r="A29" s="68" t="str">
        <f>IF(('EDL Processor'!C21+'EDL Processor'!D21+'EDL Processor'!E21) = 0,"", TEXT('EDL Processor'!C21,"00") &amp; ":"  &amp; TEXT('EDL Processor'!D21,"00") &amp;  ":"  &amp; TEXT('EDL Processor'!E21,"00") &amp; " " &amp;  'EDL Processor'!B21)</f>
        <v/>
      </c>
      <c r="B29" s="80" t="str">
        <f t="shared" si="5"/>
        <v/>
      </c>
      <c r="C29" s="85" t="str">
        <f>IFERROR(IF(ISBLANK($A21),"","[["&amp;YT_URL&amp;"?t="&amp;$D22&amp;"|"&amp; IF(LT1Hr = FALSE,MID($A21,1,8), MID($A21,1,5))&amp;"]] " &amp;$H22&amp;"\\"),"")</f>
        <v>[[YouTube_URL Goes Here?t=3918|01:05:18]] Summary and Wrap Up\\</v>
      </c>
      <c r="D29" s="48" t="e">
        <f t="shared" si="0"/>
        <v>#VALUE!</v>
      </c>
      <c r="E29" s="78" t="str">
        <f t="shared" si="1"/>
        <v/>
      </c>
      <c r="F29" s="79" t="str">
        <f t="shared" si="2"/>
        <v/>
      </c>
      <c r="G29" s="79" t="str">
        <f t="shared" si="3"/>
        <v/>
      </c>
      <c r="H29" s="54" t="str">
        <f t="shared" si="4"/>
        <v/>
      </c>
    </row>
    <row r="30" spans="1:14" ht="15.75" thickBot="1" x14ac:dyDescent="0.3">
      <c r="B30" s="80" t="str">
        <f t="shared" si="5"/>
        <v/>
      </c>
      <c r="C30" s="85" t="str">
        <f>IFERROR(IF(ISBLANK($A22),"","[["&amp;YT_URL&amp;"?t="&amp;$D23&amp;"|"&amp; IF(LT1Hr = FALSE,MID($A22,1,8), MID($A22,1,5))&amp;"]] " &amp;$H23&amp;"\\"),"")</f>
        <v/>
      </c>
      <c r="D30" s="59" t="e">
        <f t="shared" si="0"/>
        <v>#VALUE!</v>
      </c>
      <c r="E30" s="60" t="str">
        <f t="shared" si="1"/>
        <v/>
      </c>
      <c r="F30" s="61" t="str">
        <f t="shared" si="2"/>
        <v/>
      </c>
      <c r="G30" s="61" t="str">
        <f t="shared" si="3"/>
        <v/>
      </c>
      <c r="H30" s="62" t="str">
        <f t="shared" si="4"/>
        <v/>
      </c>
    </row>
    <row r="31" spans="1:14" x14ac:dyDescent="0.25">
      <c r="B31" s="80" t="str">
        <f t="shared" si="5"/>
        <v/>
      </c>
      <c r="C31" s="85" t="str">
        <f>IFERROR(IF(ISBLANK($A23),"","[["&amp;YT_URL&amp;"?t="&amp;$D24&amp;"|"&amp; IF(LT1Hr = FALSE,MID($A23,1,8), MID($A23,1,5))&amp;"]] " &amp;$H24&amp;"\\"),"")</f>
        <v/>
      </c>
      <c r="D31"/>
    </row>
    <row r="32" spans="1:14" x14ac:dyDescent="0.25">
      <c r="B32" s="80" t="str">
        <f>IF(ISBLANK(LongDescription),"",LongDescription)</f>
        <v>Long Description here. Use \\ as EOL marker to force a new line on Wiki.</v>
      </c>
      <c r="C32" s="85" t="str">
        <f>IFERROR(IF(ISBLANK($A24),"","[["&amp;YT_URL&amp;"?t="&amp;$D25&amp;"|"&amp; IF(LT1Hr = FALSE,MID($A24,1,8), MID($A24,1,5))&amp;"]] " &amp;$H25&amp;"\\"),"")</f>
        <v/>
      </c>
    </row>
    <row r="33" spans="2:3" ht="15.75" thickBot="1" x14ac:dyDescent="0.3">
      <c r="B33" s="86"/>
      <c r="C33" s="85" t="str">
        <f>IFERROR(IF(ISBLANK($A25),"","[["&amp;YT_URL&amp;"?t="&amp;$D26&amp;"|"&amp; IF(LT1Hr = FALSE,MID($A25,1,8), MID($A25,1,5))&amp;"]] " &amp;$H26&amp;"\\"),"")</f>
        <v/>
      </c>
    </row>
    <row r="34" spans="2:3" x14ac:dyDescent="0.25">
      <c r="C34" s="85" t="str">
        <f>IFERROR(IF(ISBLANK($A26),"","[["&amp;YT_URL&amp;"?t="&amp;$D27&amp;"|"&amp; IF(LT1Hr = FALSE,MID($A26,1,8), MID($A26,1,5))&amp;"]] " &amp;$H27&amp;"\\"),"")</f>
        <v/>
      </c>
    </row>
    <row r="35" spans="2:3" x14ac:dyDescent="0.25">
      <c r="C35" s="85" t="str">
        <f>IFERROR(IF(ISBLANK($A27),"","[["&amp;YT_URL&amp;"?t="&amp;$D28&amp;"|"&amp; IF(LT1Hr = FALSE,MID($A27,1,8), MID($A27,1,5))&amp;"]] " &amp;$H28&amp;"\\"),"")</f>
        <v/>
      </c>
    </row>
    <row r="36" spans="2:3" x14ac:dyDescent="0.25">
      <c r="C36" s="85" t="str">
        <f>IFERROR(IF(ISBLANK($A28),"","[["&amp;YT_URL&amp;"?t="&amp;$D29&amp;"|"&amp; IF(LT1Hr = FALSE,MID($A28,1,8), MID($A28,1,5))&amp;"]] " &amp;$H29&amp;"\\"),"")</f>
        <v/>
      </c>
    </row>
    <row r="37" spans="2:3" x14ac:dyDescent="0.25">
      <c r="C37" s="85" t="str">
        <f>IFERROR(IF(ISBLANK($A29),"","[["&amp;YT_URL&amp;"?t="&amp;$D30&amp;"|"&amp; IF(LT1Hr = FALSE,MID($A29,1,8), MID($A29,1,5))&amp;"]] " &amp;$H30&amp;"\\"),"")</f>
        <v/>
      </c>
    </row>
    <row r="38" spans="2:3" x14ac:dyDescent="0.25">
      <c r="C38" s="87" t="str">
        <f>EndWrap</f>
        <v>&lt;/WRAP&gt;</v>
      </c>
    </row>
    <row r="39" spans="2:3" x14ac:dyDescent="0.25">
      <c r="C39" s="87" t="str">
        <f>WRAPcolumnhalf</f>
        <v>&lt;WRAP column half&gt;</v>
      </c>
    </row>
    <row r="40" spans="2:3" ht="30" x14ac:dyDescent="0.25">
      <c r="C40" s="88" t="str">
        <f>"{{:subjects:msag_youtube_icon.jpg?40 |A YouTube video}} [[" &amp; YT_URL &amp; "|" &amp; VideoTitle &amp; "]] ("&amp; YT_minutes  &amp; " mins) {{youtube&gt;" &amp;  MID(YT_URL,18,99) &amp;  "}}\\"</f>
        <v>{{:subjects:msag_youtube_icon.jpg?40 |A YouTube video}} [[YouTube_URL Goes Here|{Video Title}]] (99 mins) {{youtube&gt;Here}}\\</v>
      </c>
    </row>
    <row r="41" spans="2:3" x14ac:dyDescent="0.25">
      <c r="C41" s="87" t="str">
        <f>EndWrap</f>
        <v>&lt;/WRAP&gt;</v>
      </c>
    </row>
    <row r="42" spans="2:3" x14ac:dyDescent="0.25">
      <c r="C42" s="87" t="str">
        <f>EndWrap</f>
        <v>&lt;/WRAP&gt;</v>
      </c>
    </row>
    <row r="43" spans="2:3" x14ac:dyDescent="0.25">
      <c r="C43" s="87" t="str">
        <f>EndWrap</f>
        <v>&lt;/WRAP&gt;</v>
      </c>
    </row>
    <row r="44" spans="2:3" ht="15.75" thickBot="1" x14ac:dyDescent="0.3">
      <c r="C44" s="89" t="s">
        <v>23</v>
      </c>
    </row>
  </sheetData>
  <mergeCells count="2">
    <mergeCell ref="J11:N11"/>
    <mergeCell ref="D9:N9"/>
  </mergeCell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31" r:id="rId4" name="btn_Select_EDL_File">
          <controlPr defaultSize="0" autoLine="0" r:id="rId5">
            <anchor moveWithCells="1">
              <from>
                <xdr:col>2</xdr:col>
                <xdr:colOff>1409700</xdr:colOff>
                <xdr:row>2</xdr:row>
                <xdr:rowOff>123825</xdr:rowOff>
              </from>
              <to>
                <xdr:col>2</xdr:col>
                <xdr:colOff>2771775</xdr:colOff>
                <xdr:row>4</xdr:row>
                <xdr:rowOff>85725</xdr:rowOff>
              </to>
            </anchor>
          </controlPr>
        </control>
      </mc:Choice>
      <mc:Fallback>
        <control shapeId="1031" r:id="rId4" name="btn_Select_EDL_Fil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A218C-BCCA-44D9-91C3-B167AB3CDD48}">
  <sheetPr codeName="Sheet2"/>
  <dimension ref="A1:L51"/>
  <sheetViews>
    <sheetView workbookViewId="0">
      <selection activeCell="L2" sqref="L2"/>
    </sheetView>
  </sheetViews>
  <sheetFormatPr defaultRowHeight="15" x14ac:dyDescent="0.25"/>
  <cols>
    <col min="1" max="1" width="10.5703125" style="72" bestFit="1" customWidth="1"/>
    <col min="2" max="2" width="31.28515625" style="72" bestFit="1" customWidth="1"/>
    <col min="3" max="3" width="9.85546875" style="72" bestFit="1" customWidth="1"/>
    <col min="4" max="4" width="11.42578125" style="72" bestFit="1" customWidth="1"/>
    <col min="5" max="5" width="10.85546875" style="72" bestFit="1" customWidth="1"/>
    <col min="6" max="6" width="12.5703125" style="72" bestFit="1" customWidth="1"/>
    <col min="7" max="7" width="9" style="72" bestFit="1" customWidth="1"/>
    <col min="8" max="8" width="10.5703125" style="72" bestFit="1" customWidth="1"/>
    <col min="9" max="9" width="10" style="72" bestFit="1" customWidth="1"/>
    <col min="10" max="10" width="11.7109375" style="72" bestFit="1" customWidth="1"/>
    <col min="11" max="11" width="26.85546875" customWidth="1"/>
    <col min="12" max="12" width="210.42578125" bestFit="1" customWidth="1"/>
    <col min="25" max="25" width="24.140625" bestFit="1" customWidth="1"/>
  </cols>
  <sheetData>
    <row r="1" spans="1:12" ht="15.75" thickBot="1" x14ac:dyDescent="0.3">
      <c r="A1" s="72" t="s">
        <v>55</v>
      </c>
      <c r="B1" s="72" t="s">
        <v>56</v>
      </c>
      <c r="C1" s="72" t="s">
        <v>57</v>
      </c>
      <c r="D1" s="72" t="s">
        <v>58</v>
      </c>
      <c r="E1" s="72" t="s">
        <v>59</v>
      </c>
      <c r="F1" s="72" t="s">
        <v>60</v>
      </c>
      <c r="G1" s="72" t="s">
        <v>61</v>
      </c>
      <c r="H1" s="72" t="s">
        <v>62</v>
      </c>
      <c r="I1" s="72" t="s">
        <v>63</v>
      </c>
      <c r="J1" s="72" t="s">
        <v>64</v>
      </c>
      <c r="L1" s="73" t="s">
        <v>65</v>
      </c>
    </row>
    <row r="2" spans="1:12" ht="15.75" thickBot="1" x14ac:dyDescent="0.3">
      <c r="A2" s="72" t="s">
        <v>66</v>
      </c>
      <c r="B2" s="72" t="s">
        <v>67</v>
      </c>
      <c r="C2" s="72">
        <v>0</v>
      </c>
      <c r="D2" s="72">
        <v>0</v>
      </c>
      <c r="E2" s="72">
        <v>12</v>
      </c>
      <c r="F2" s="72">
        <v>6</v>
      </c>
      <c r="G2" s="72">
        <v>0</v>
      </c>
      <c r="H2" s="72">
        <v>0</v>
      </c>
      <c r="I2" s="72">
        <v>12</v>
      </c>
      <c r="J2" s="72">
        <v>7</v>
      </c>
      <c r="L2" s="74" t="s">
        <v>136</v>
      </c>
    </row>
    <row r="3" spans="1:12" x14ac:dyDescent="0.25">
      <c r="A3" s="72" t="s">
        <v>68</v>
      </c>
      <c r="B3" s="72" t="s">
        <v>69</v>
      </c>
      <c r="C3" s="72">
        <v>0</v>
      </c>
      <c r="D3" s="72">
        <v>2</v>
      </c>
      <c r="E3" s="72">
        <v>14</v>
      </c>
      <c r="F3" s="72">
        <v>19</v>
      </c>
      <c r="G3" s="72">
        <v>0</v>
      </c>
      <c r="H3" s="72">
        <v>2</v>
      </c>
      <c r="I3" s="72">
        <v>14</v>
      </c>
      <c r="J3" s="72">
        <v>20</v>
      </c>
    </row>
    <row r="4" spans="1:12" x14ac:dyDescent="0.25">
      <c r="A4" s="72" t="s">
        <v>70</v>
      </c>
      <c r="B4" s="72" t="s">
        <v>71</v>
      </c>
      <c r="C4" s="72">
        <v>0</v>
      </c>
      <c r="D4" s="72">
        <v>3</v>
      </c>
      <c r="E4" s="72">
        <v>14</v>
      </c>
      <c r="F4" s="72">
        <v>16</v>
      </c>
      <c r="G4" s="72">
        <v>0</v>
      </c>
      <c r="H4" s="72">
        <v>3</v>
      </c>
      <c r="I4" s="72">
        <v>14</v>
      </c>
      <c r="J4" s="72">
        <v>17</v>
      </c>
    </row>
    <row r="5" spans="1:12" x14ac:dyDescent="0.25">
      <c r="A5" s="72" t="s">
        <v>72</v>
      </c>
      <c r="B5" s="72" t="s">
        <v>73</v>
      </c>
      <c r="C5" s="72">
        <v>0</v>
      </c>
      <c r="D5" s="72">
        <v>8</v>
      </c>
      <c r="E5" s="72">
        <v>33</v>
      </c>
      <c r="F5" s="72">
        <v>1</v>
      </c>
      <c r="G5" s="72">
        <v>0</v>
      </c>
      <c r="H5" s="72">
        <v>8</v>
      </c>
      <c r="I5" s="72">
        <v>33</v>
      </c>
      <c r="J5" s="72">
        <v>2</v>
      </c>
    </row>
    <row r="6" spans="1:12" x14ac:dyDescent="0.25">
      <c r="A6" s="72" t="s">
        <v>74</v>
      </c>
      <c r="B6" s="72" t="s">
        <v>75</v>
      </c>
      <c r="C6" s="72">
        <v>0</v>
      </c>
      <c r="D6" s="72">
        <v>20</v>
      </c>
      <c r="E6" s="72">
        <v>33</v>
      </c>
      <c r="F6" s="72">
        <v>18</v>
      </c>
      <c r="G6" s="72">
        <v>0</v>
      </c>
      <c r="H6" s="72">
        <v>20</v>
      </c>
      <c r="I6" s="72">
        <v>33</v>
      </c>
      <c r="J6" s="72">
        <v>19</v>
      </c>
    </row>
    <row r="7" spans="1:12" x14ac:dyDescent="0.25">
      <c r="A7" s="72" t="s">
        <v>76</v>
      </c>
      <c r="B7" s="72" t="s">
        <v>77</v>
      </c>
      <c r="C7" s="72">
        <v>0</v>
      </c>
      <c r="D7" s="72">
        <v>22</v>
      </c>
      <c r="E7" s="72">
        <v>8</v>
      </c>
      <c r="F7" s="72">
        <v>0</v>
      </c>
      <c r="G7" s="72">
        <v>0</v>
      </c>
      <c r="H7" s="72">
        <v>22</v>
      </c>
      <c r="I7" s="72">
        <v>8</v>
      </c>
      <c r="J7" s="72">
        <v>1</v>
      </c>
      <c r="L7" s="72"/>
    </row>
    <row r="8" spans="1:12" x14ac:dyDescent="0.25">
      <c r="A8" s="72" t="s">
        <v>78</v>
      </c>
      <c r="B8" s="72" t="s">
        <v>79</v>
      </c>
      <c r="C8" s="72">
        <v>0</v>
      </c>
      <c r="D8" s="72">
        <v>24</v>
      </c>
      <c r="E8" s="72">
        <v>57</v>
      </c>
      <c r="F8" s="72">
        <v>5</v>
      </c>
      <c r="G8" s="72">
        <v>0</v>
      </c>
      <c r="H8" s="72">
        <v>24</v>
      </c>
      <c r="I8" s="72">
        <v>57</v>
      </c>
      <c r="J8" s="72">
        <v>6</v>
      </c>
    </row>
    <row r="9" spans="1:12" x14ac:dyDescent="0.25">
      <c r="A9" s="72" t="s">
        <v>80</v>
      </c>
      <c r="B9" s="72" t="s">
        <v>81</v>
      </c>
      <c r="C9" s="72">
        <v>0</v>
      </c>
      <c r="D9" s="72">
        <v>26</v>
      </c>
      <c r="E9" s="72">
        <v>22</v>
      </c>
      <c r="F9" s="72">
        <v>12</v>
      </c>
      <c r="G9" s="72">
        <v>0</v>
      </c>
      <c r="H9" s="72">
        <v>26</v>
      </c>
      <c r="I9" s="72">
        <v>22</v>
      </c>
      <c r="J9" s="72">
        <v>13</v>
      </c>
      <c r="L9" s="75" t="s">
        <v>82</v>
      </c>
    </row>
    <row r="10" spans="1:12" x14ac:dyDescent="0.25">
      <c r="A10" s="72" t="s">
        <v>83</v>
      </c>
      <c r="B10" s="72" t="s">
        <v>84</v>
      </c>
      <c r="C10" s="72">
        <v>0</v>
      </c>
      <c r="D10" s="72">
        <v>38</v>
      </c>
      <c r="E10" s="72">
        <v>57</v>
      </c>
      <c r="F10" s="72">
        <v>9</v>
      </c>
      <c r="G10" s="72">
        <v>0</v>
      </c>
      <c r="H10" s="72">
        <v>38</v>
      </c>
      <c r="I10" s="72">
        <v>57</v>
      </c>
      <c r="J10" s="72">
        <v>10</v>
      </c>
      <c r="L10" s="49" t="s">
        <v>132</v>
      </c>
    </row>
    <row r="11" spans="1:12" x14ac:dyDescent="0.25">
      <c r="A11" s="72" t="s">
        <v>85</v>
      </c>
      <c r="B11" s="72" t="s">
        <v>86</v>
      </c>
      <c r="C11" s="72">
        <v>0</v>
      </c>
      <c r="D11" s="72">
        <v>48</v>
      </c>
      <c r="E11" s="72">
        <v>39</v>
      </c>
      <c r="F11" s="72">
        <v>7</v>
      </c>
      <c r="G11" s="72">
        <v>0</v>
      </c>
      <c r="H11" s="72">
        <v>48</v>
      </c>
      <c r="I11" s="72">
        <v>39</v>
      </c>
      <c r="J11" s="72">
        <v>8</v>
      </c>
      <c r="L11" s="76" t="s">
        <v>137</v>
      </c>
    </row>
    <row r="12" spans="1:12" x14ac:dyDescent="0.25">
      <c r="A12" s="72" t="s">
        <v>87</v>
      </c>
      <c r="B12" s="72" t="s">
        <v>88</v>
      </c>
      <c r="C12" s="72">
        <v>0</v>
      </c>
      <c r="D12" s="72">
        <v>56</v>
      </c>
      <c r="E12" s="72">
        <v>9</v>
      </c>
      <c r="F12" s="72">
        <v>6</v>
      </c>
      <c r="G12" s="72">
        <v>0</v>
      </c>
      <c r="H12" s="72">
        <v>56</v>
      </c>
      <c r="I12" s="72">
        <v>9</v>
      </c>
      <c r="J12" s="72">
        <v>7</v>
      </c>
      <c r="L12" s="49" t="s">
        <v>89</v>
      </c>
    </row>
    <row r="13" spans="1:12" x14ac:dyDescent="0.25">
      <c r="A13" s="72" t="s">
        <v>90</v>
      </c>
      <c r="B13" s="72" t="s">
        <v>91</v>
      </c>
      <c r="C13" s="72">
        <v>1</v>
      </c>
      <c r="D13" s="72">
        <v>5</v>
      </c>
      <c r="E13" s="72">
        <v>18</v>
      </c>
      <c r="F13" s="72">
        <v>12</v>
      </c>
      <c r="G13" s="72">
        <v>1</v>
      </c>
      <c r="H13" s="72">
        <v>5</v>
      </c>
      <c r="I13" s="72">
        <v>18</v>
      </c>
      <c r="J13" s="72">
        <v>13</v>
      </c>
      <c r="L13" s="49" t="s">
        <v>92</v>
      </c>
    </row>
    <row r="14" spans="1:12" x14ac:dyDescent="0.25">
      <c r="L14" s="49" t="s">
        <v>93</v>
      </c>
    </row>
    <row r="15" spans="1:12" x14ac:dyDescent="0.25">
      <c r="L15" s="49" t="s">
        <v>94</v>
      </c>
    </row>
    <row r="16" spans="1:12" x14ac:dyDescent="0.25">
      <c r="L16" s="49" t="s">
        <v>95</v>
      </c>
    </row>
    <row r="17" spans="12:12" x14ac:dyDescent="0.25">
      <c r="L17" s="49" t="s">
        <v>96</v>
      </c>
    </row>
    <row r="18" spans="12:12" x14ac:dyDescent="0.25">
      <c r="L18" s="49" t="s">
        <v>97</v>
      </c>
    </row>
    <row r="19" spans="12:12" x14ac:dyDescent="0.25">
      <c r="L19" s="49" t="s">
        <v>98</v>
      </c>
    </row>
    <row r="20" spans="12:12" x14ac:dyDescent="0.25">
      <c r="L20" s="49" t="s">
        <v>99</v>
      </c>
    </row>
    <row r="21" spans="12:12" x14ac:dyDescent="0.25">
      <c r="L21" s="49" t="s">
        <v>100</v>
      </c>
    </row>
    <row r="22" spans="12:12" x14ac:dyDescent="0.25">
      <c r="L22" s="49" t="s">
        <v>101</v>
      </c>
    </row>
    <row r="23" spans="12:12" x14ac:dyDescent="0.25">
      <c r="L23" s="49" t="s">
        <v>102</v>
      </c>
    </row>
    <row r="24" spans="12:12" x14ac:dyDescent="0.25">
      <c r="L24" s="49" t="s">
        <v>103</v>
      </c>
    </row>
    <row r="25" spans="12:12" x14ac:dyDescent="0.25">
      <c r="L25" s="49" t="s">
        <v>104</v>
      </c>
    </row>
    <row r="26" spans="12:12" x14ac:dyDescent="0.25">
      <c r="L26" s="49" t="s">
        <v>105</v>
      </c>
    </row>
    <row r="27" spans="12:12" x14ac:dyDescent="0.25">
      <c r="L27" s="49" t="s">
        <v>106</v>
      </c>
    </row>
    <row r="28" spans="12:12" x14ac:dyDescent="0.25">
      <c r="L28" s="49" t="s">
        <v>107</v>
      </c>
    </row>
    <row r="29" spans="12:12" x14ac:dyDescent="0.25">
      <c r="L29" s="49" t="s">
        <v>108</v>
      </c>
    </row>
    <row r="30" spans="12:12" x14ac:dyDescent="0.25">
      <c r="L30" s="49" t="s">
        <v>109</v>
      </c>
    </row>
    <row r="31" spans="12:12" x14ac:dyDescent="0.25">
      <c r="L31" s="49" t="s">
        <v>110</v>
      </c>
    </row>
    <row r="32" spans="12:12" x14ac:dyDescent="0.25">
      <c r="L32" s="49" t="s">
        <v>111</v>
      </c>
    </row>
    <row r="33" spans="12:12" x14ac:dyDescent="0.25">
      <c r="L33" s="49" t="s">
        <v>112</v>
      </c>
    </row>
    <row r="34" spans="12:12" x14ac:dyDescent="0.25">
      <c r="L34" s="49" t="s">
        <v>113</v>
      </c>
    </row>
    <row r="35" spans="12:12" x14ac:dyDescent="0.25">
      <c r="L35" s="49" t="s">
        <v>114</v>
      </c>
    </row>
    <row r="36" spans="12:12" x14ac:dyDescent="0.25">
      <c r="L36" s="49" t="s">
        <v>115</v>
      </c>
    </row>
    <row r="37" spans="12:12" x14ac:dyDescent="0.25">
      <c r="L37" s="49" t="s">
        <v>116</v>
      </c>
    </row>
    <row r="38" spans="12:12" x14ac:dyDescent="0.25">
      <c r="L38" s="49" t="s">
        <v>117</v>
      </c>
    </row>
    <row r="39" spans="12:12" x14ac:dyDescent="0.25">
      <c r="L39" s="49" t="s">
        <v>118</v>
      </c>
    </row>
    <row r="40" spans="12:12" x14ac:dyDescent="0.25">
      <c r="L40" s="49" t="s">
        <v>119</v>
      </c>
    </row>
    <row r="41" spans="12:12" x14ac:dyDescent="0.25">
      <c r="L41" s="49" t="s">
        <v>120</v>
      </c>
    </row>
    <row r="42" spans="12:12" x14ac:dyDescent="0.25">
      <c r="L42" s="49" t="s">
        <v>121</v>
      </c>
    </row>
    <row r="43" spans="12:12" x14ac:dyDescent="0.25">
      <c r="L43" s="49" t="s">
        <v>122</v>
      </c>
    </row>
    <row r="44" spans="12:12" x14ac:dyDescent="0.25">
      <c r="L44" s="49" t="s">
        <v>123</v>
      </c>
    </row>
    <row r="45" spans="12:12" x14ac:dyDescent="0.25">
      <c r="L45" s="49" t="s">
        <v>124</v>
      </c>
    </row>
    <row r="46" spans="12:12" x14ac:dyDescent="0.25">
      <c r="L46" s="49" t="s">
        <v>125</v>
      </c>
    </row>
    <row r="47" spans="12:12" x14ac:dyDescent="0.25">
      <c r="L47" s="49" t="s">
        <v>126</v>
      </c>
    </row>
    <row r="48" spans="12:12" x14ac:dyDescent="0.25">
      <c r="L48" s="49" t="s">
        <v>127</v>
      </c>
    </row>
    <row r="49" spans="12:12" x14ac:dyDescent="0.25">
      <c r="L49" s="49" t="s">
        <v>128</v>
      </c>
    </row>
    <row r="50" spans="12:12" x14ac:dyDescent="0.25">
      <c r="L50" s="49" t="s">
        <v>129</v>
      </c>
    </row>
    <row r="51" spans="12:12" x14ac:dyDescent="0.25">
      <c r="L51" s="49" t="s">
        <v>130</v>
      </c>
    </row>
  </sheetData>
  <sheetProtection selectLockedCells="1"/>
  <phoneticPr fontId="17" type="noConversion"/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61C2CE-BF6C-4C2D-A7FF-E3BC23A71B21}">
  <sheetPr codeName="Sheet5"/>
  <dimension ref="B1:F26"/>
  <sheetViews>
    <sheetView workbookViewId="0">
      <selection activeCell="B1" sqref="B1"/>
    </sheetView>
  </sheetViews>
  <sheetFormatPr defaultRowHeight="15" x14ac:dyDescent="0.25"/>
  <cols>
    <col min="1" max="1" width="3" customWidth="1"/>
    <col min="2" max="2" width="9.140625" style="14"/>
    <col min="3" max="3" width="61.140625" customWidth="1"/>
    <col min="4" max="4" width="11.140625" bestFit="1" customWidth="1"/>
    <col min="5" max="5" width="9.7109375" style="1" bestFit="1" customWidth="1"/>
    <col min="6" max="6" width="61" customWidth="1"/>
  </cols>
  <sheetData>
    <row r="1" spans="2:6" ht="21" x14ac:dyDescent="0.35">
      <c r="B1" s="16">
        <f>MAX(B4:B26)</f>
        <v>0.3</v>
      </c>
      <c r="C1" s="17" t="s">
        <v>43</v>
      </c>
      <c r="D1" s="15"/>
      <c r="E1" s="36"/>
      <c r="F1" s="37" t="s">
        <v>46</v>
      </c>
    </row>
    <row r="2" spans="2:6" ht="15.75" thickBot="1" x14ac:dyDescent="0.3"/>
    <row r="3" spans="2:6" ht="15.75" thickBot="1" x14ac:dyDescent="0.3">
      <c r="B3" s="19" t="s">
        <v>35</v>
      </c>
      <c r="C3" s="20" t="s">
        <v>36</v>
      </c>
      <c r="D3" s="20" t="s">
        <v>37</v>
      </c>
      <c r="E3" s="21" t="s">
        <v>38</v>
      </c>
      <c r="F3" s="22" t="s">
        <v>41</v>
      </c>
    </row>
    <row r="4" spans="2:6" x14ac:dyDescent="0.25">
      <c r="B4" s="23">
        <v>0</v>
      </c>
      <c r="C4" s="114" t="s">
        <v>40</v>
      </c>
      <c r="D4" s="24" t="s">
        <v>39</v>
      </c>
      <c r="E4" s="25">
        <v>44974</v>
      </c>
      <c r="F4" s="34" t="s">
        <v>42</v>
      </c>
    </row>
    <row r="5" spans="2:6" ht="45" x14ac:dyDescent="0.25">
      <c r="B5" s="26">
        <v>0.1</v>
      </c>
      <c r="C5" s="111" t="s">
        <v>148</v>
      </c>
      <c r="D5" s="32" t="s">
        <v>39</v>
      </c>
      <c r="E5" s="35">
        <v>44976</v>
      </c>
      <c r="F5" s="38" t="s">
        <v>47</v>
      </c>
    </row>
    <row r="6" spans="2:6" ht="30" x14ac:dyDescent="0.25">
      <c r="B6" s="26">
        <v>0.2</v>
      </c>
      <c r="C6" s="112" t="s">
        <v>135</v>
      </c>
      <c r="D6" s="32" t="s">
        <v>39</v>
      </c>
      <c r="E6" s="35">
        <v>44979</v>
      </c>
      <c r="F6" s="33" t="s">
        <v>134</v>
      </c>
    </row>
    <row r="7" spans="2:6" ht="45" x14ac:dyDescent="0.25">
      <c r="B7" s="90">
        <v>0.3</v>
      </c>
      <c r="C7" s="113" t="s">
        <v>147</v>
      </c>
      <c r="D7" s="91" t="s">
        <v>39</v>
      </c>
      <c r="E7" s="35">
        <v>44979</v>
      </c>
      <c r="F7" s="33" t="s">
        <v>146</v>
      </c>
    </row>
    <row r="8" spans="2:6" x14ac:dyDescent="0.25">
      <c r="B8" s="26"/>
      <c r="C8" s="92"/>
      <c r="D8" s="32"/>
      <c r="E8" s="18"/>
      <c r="F8" s="33"/>
    </row>
    <row r="9" spans="2:6" x14ac:dyDescent="0.25">
      <c r="B9" s="26"/>
      <c r="C9" s="31"/>
      <c r="D9" s="32"/>
      <c r="E9" s="18"/>
      <c r="F9" s="33"/>
    </row>
    <row r="10" spans="2:6" x14ac:dyDescent="0.25">
      <c r="B10" s="26"/>
      <c r="C10" s="31"/>
      <c r="D10" s="32"/>
      <c r="E10" s="18"/>
      <c r="F10" s="33"/>
    </row>
    <row r="11" spans="2:6" x14ac:dyDescent="0.25">
      <c r="B11" s="26"/>
      <c r="C11" s="31"/>
      <c r="D11" s="32"/>
      <c r="E11" s="18"/>
      <c r="F11" s="33"/>
    </row>
    <row r="12" spans="2:6" x14ac:dyDescent="0.25">
      <c r="B12" s="26"/>
      <c r="C12" s="31"/>
      <c r="D12" s="32"/>
      <c r="E12" s="18"/>
      <c r="F12" s="33"/>
    </row>
    <row r="13" spans="2:6" x14ac:dyDescent="0.25">
      <c r="B13" s="26"/>
      <c r="C13" s="31"/>
      <c r="D13" s="32"/>
      <c r="E13" s="18"/>
      <c r="F13" s="33"/>
    </row>
    <row r="14" spans="2:6" x14ac:dyDescent="0.25">
      <c r="B14" s="26"/>
      <c r="C14" s="31"/>
      <c r="D14" s="32"/>
      <c r="E14" s="18"/>
      <c r="F14" s="33"/>
    </row>
    <row r="15" spans="2:6" x14ac:dyDescent="0.25">
      <c r="B15" s="26"/>
      <c r="C15" s="31"/>
      <c r="D15" s="32"/>
      <c r="E15" s="18"/>
      <c r="F15" s="33"/>
    </row>
    <row r="16" spans="2:6" x14ac:dyDescent="0.25">
      <c r="B16" s="26"/>
      <c r="C16" s="31"/>
      <c r="D16" s="32"/>
      <c r="E16" s="18"/>
      <c r="F16" s="33"/>
    </row>
    <row r="17" spans="2:6" x14ac:dyDescent="0.25">
      <c r="B17" s="26"/>
      <c r="C17" s="31"/>
      <c r="D17" s="32"/>
      <c r="E17" s="18"/>
      <c r="F17" s="33"/>
    </row>
    <row r="18" spans="2:6" x14ac:dyDescent="0.25">
      <c r="B18" s="26"/>
      <c r="C18" s="31"/>
      <c r="D18" s="32"/>
      <c r="E18" s="18"/>
      <c r="F18" s="33"/>
    </row>
    <row r="19" spans="2:6" x14ac:dyDescent="0.25">
      <c r="B19" s="26"/>
      <c r="C19" s="31"/>
      <c r="D19" s="32"/>
      <c r="E19" s="18"/>
      <c r="F19" s="33"/>
    </row>
    <row r="20" spans="2:6" x14ac:dyDescent="0.25">
      <c r="B20" s="26"/>
      <c r="C20" s="31"/>
      <c r="D20" s="32"/>
      <c r="E20" s="18"/>
      <c r="F20" s="33"/>
    </row>
    <row r="21" spans="2:6" x14ac:dyDescent="0.25">
      <c r="B21" s="26"/>
      <c r="C21" s="31"/>
      <c r="D21" s="32"/>
      <c r="E21" s="18"/>
      <c r="F21" s="33"/>
    </row>
    <row r="22" spans="2:6" x14ac:dyDescent="0.25">
      <c r="B22" s="26"/>
      <c r="C22" s="31"/>
      <c r="D22" s="32"/>
      <c r="E22" s="18"/>
      <c r="F22" s="33"/>
    </row>
    <row r="23" spans="2:6" x14ac:dyDescent="0.25">
      <c r="B23" s="26"/>
      <c r="C23" s="31"/>
      <c r="D23" s="32"/>
      <c r="E23" s="18"/>
      <c r="F23" s="33"/>
    </row>
    <row r="24" spans="2:6" x14ac:dyDescent="0.25">
      <c r="B24" s="26"/>
      <c r="C24" s="31"/>
      <c r="D24" s="32"/>
      <c r="E24" s="18"/>
      <c r="F24" s="33"/>
    </row>
    <row r="25" spans="2:6" x14ac:dyDescent="0.25">
      <c r="B25" s="26"/>
      <c r="C25" s="31"/>
      <c r="D25" s="32"/>
      <c r="E25" s="18"/>
      <c r="F25" s="33"/>
    </row>
    <row r="26" spans="2:6" ht="15.75" thickBot="1" x14ac:dyDescent="0.3">
      <c r="B26" s="27"/>
      <c r="C26" s="28"/>
      <c r="D26" s="28"/>
      <c r="E26" s="29"/>
      <c r="F26" s="30"/>
    </row>
  </sheetData>
  <hyperlinks>
    <hyperlink ref="F1" location="Instructions!A1" display="Click Here to Return to Instructions" xr:uid="{D8F39995-BE05-4CCD-9C06-74B16A661E44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A3BBD7D-E651-41D8-AED5-B0D8A43483E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32</vt:i4>
      </vt:variant>
    </vt:vector>
  </HeadingPairs>
  <TitlesOfParts>
    <vt:vector size="37" baseType="lpstr">
      <vt:lpstr>Instructions</vt:lpstr>
      <vt:lpstr>SigSample</vt:lpstr>
      <vt:lpstr>Template</vt:lpstr>
      <vt:lpstr>EDL Processor</vt:lpstr>
      <vt:lpstr>Revision Control</vt:lpstr>
      <vt:lpstr>SigSample!BoxTitle</vt:lpstr>
      <vt:lpstr>BoxTitle</vt:lpstr>
      <vt:lpstr>EDLFileName</vt:lpstr>
      <vt:lpstr>SigSample!EndWrap</vt:lpstr>
      <vt:lpstr>EndWrap</vt:lpstr>
      <vt:lpstr>SigSample!EOL</vt:lpstr>
      <vt:lpstr>EOL</vt:lpstr>
      <vt:lpstr>SigSample!LongDescription</vt:lpstr>
      <vt:lpstr>LongDescription</vt:lpstr>
      <vt:lpstr>SigSample!LT1Hr</vt:lpstr>
      <vt:lpstr>LT1Hr</vt:lpstr>
      <vt:lpstr>NewSource</vt:lpstr>
      <vt:lpstr>SigSample!OneLineDescription</vt:lpstr>
      <vt:lpstr>OneLineDescription</vt:lpstr>
      <vt:lpstr>SigSample!TL_Line1</vt:lpstr>
      <vt:lpstr>TL_Line1</vt:lpstr>
      <vt:lpstr>SigSample!txtDateTime</vt:lpstr>
      <vt:lpstr>txtDateTime</vt:lpstr>
      <vt:lpstr>SigSample!VideoTitle</vt:lpstr>
      <vt:lpstr>VideoTitle</vt:lpstr>
      <vt:lpstr>SigSample!WRAPbox</vt:lpstr>
      <vt:lpstr>WRAPbox</vt:lpstr>
      <vt:lpstr>SigSample!WRAPcolumn</vt:lpstr>
      <vt:lpstr>WRAPcolumn</vt:lpstr>
      <vt:lpstr>SigSample!WRAPcolumnhalf</vt:lpstr>
      <vt:lpstr>WRAPcolumnhalf</vt:lpstr>
      <vt:lpstr>SigSample!YT_minutes</vt:lpstr>
      <vt:lpstr>YT_minutes</vt:lpstr>
      <vt:lpstr>SigSample!YT_Show_More</vt:lpstr>
      <vt:lpstr>YT_Show_More</vt:lpstr>
      <vt:lpstr>SigSample!YT_URL</vt:lpstr>
      <vt:lpstr>YT_URL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Lomax</dc:creator>
  <cp:lastModifiedBy>Alan Lomax</cp:lastModifiedBy>
  <dcterms:created xsi:type="dcterms:W3CDTF">2015-06-05T18:17:20Z</dcterms:created>
  <dcterms:modified xsi:type="dcterms:W3CDTF">2023-02-23T04:02:16Z</dcterms:modified>
</cp:coreProperties>
</file>