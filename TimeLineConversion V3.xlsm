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oma_000\Desktop\"/>
    </mc:Choice>
  </mc:AlternateContent>
  <xr:revisionPtr revIDLastSave="0" documentId="8_{15789F80-5290-4F11-9295-A9925A8E399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ions" sheetId="2" r:id="rId1"/>
    <sheet name="SigSample" sheetId="19" r:id="rId2"/>
    <sheet name="MERG YouTube WiKi Text Maker" sheetId="1" r:id="rId3"/>
    <sheet name="EDL Processor" sheetId="20" r:id="rId4"/>
    <sheet name="Revision Control" sheetId="7" r:id="rId5"/>
  </sheets>
  <functionGroups builtInGroupCount="19"/>
  <definedNames>
    <definedName name="BoxTitle" localSheetId="1">SigSample!$B$3</definedName>
    <definedName name="BoxTitle">'MERG YouTube WiKi Text Maker'!$B$3</definedName>
    <definedName name="EDLFileName">'EDL Processor'!$L$2</definedName>
    <definedName name="EndWrap" localSheetId="1">SigSample!$J$15</definedName>
    <definedName name="EndWrap">'MERG YouTube WiKi Text Maker'!$J$15</definedName>
    <definedName name="EOL" localSheetId="1">SigSample!$J$16</definedName>
    <definedName name="EOL">'MERG YouTube WiKi Text Maker'!$J$16</definedName>
    <definedName name="ExternalData_1" localSheetId="3" hidden="1">'EDL Processor'!$A$1:$J$13</definedName>
    <definedName name="LongDescription" localSheetId="1">SigSample!$B$8</definedName>
    <definedName name="LongDescription">'MERG YouTube WiKi Text Maker'!$B$8</definedName>
    <definedName name="LT1Hr" localSheetId="1">SigSample!$D$31</definedName>
    <definedName name="LT1Hr">'MERG YouTube WiKi Text Maker'!$D$31</definedName>
    <definedName name="NewSource">'EDL Processor'!$L$11</definedName>
    <definedName name="OneLineDescription" localSheetId="1">SigSample!$B$7</definedName>
    <definedName name="OneLineDescription">'MERG YouTube WiKi Text Maker'!$B$7</definedName>
    <definedName name="TL_Line1" localSheetId="1">SigSample!$A$10</definedName>
    <definedName name="TL_Line1">'MERG YouTube WiKi Text Maker'!$A$10</definedName>
    <definedName name="txtDateTime" localSheetId="1">SigSample!$B$4</definedName>
    <definedName name="txtDateTime">'MERG YouTube WiKi Text Maker'!$B$4</definedName>
    <definedName name="VideoTitle" localSheetId="1">SigSample!$B$5</definedName>
    <definedName name="VideoTitle">'MERG YouTube WiKi Text Maker'!$B$5</definedName>
    <definedName name="WRAPbox" localSheetId="1">SigSample!$J$12</definedName>
    <definedName name="WRAPbox">'MERG YouTube WiKi Text Maker'!$J$12</definedName>
    <definedName name="WRAPcolumn" localSheetId="1">SigSample!$J$13</definedName>
    <definedName name="WRAPcolumn">'MERG YouTube WiKi Text Maker'!$J$13</definedName>
    <definedName name="WRAPcolumnhalf" localSheetId="1">SigSample!$J$14</definedName>
    <definedName name="WRAPcolumnhalf">'MERG YouTube WiKi Text Maker'!$J$14</definedName>
    <definedName name="YT_minutes" localSheetId="1">SigSample!$B$6</definedName>
    <definedName name="YT_minutes">'MERG YouTube WiKi Text Maker'!$B$6</definedName>
    <definedName name="YT_Show_More" localSheetId="1">SigSample!$J$11</definedName>
    <definedName name="YT_Show_More">'MERG YouTube WiKi Text Maker'!$J$11</definedName>
    <definedName name="YT_URL" localSheetId="1">SigSample!$B$2</definedName>
    <definedName name="YT_URL">'MERG YouTube WiKi Text Maker'!$B$2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A10" i="1"/>
  <c r="B12" i="1" s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11" i="1"/>
  <c r="C43" i="19"/>
  <c r="C42" i="19"/>
  <c r="C41" i="19"/>
  <c r="C40" i="19"/>
  <c r="C39" i="19"/>
  <c r="C38" i="19"/>
  <c r="C37" i="19"/>
  <c r="C36" i="19"/>
  <c r="C35" i="19"/>
  <c r="C34" i="19"/>
  <c r="C33" i="19"/>
  <c r="C32" i="19"/>
  <c r="B32" i="19"/>
  <c r="D31" i="19"/>
  <c r="H30" i="19" s="1"/>
  <c r="C31" i="19"/>
  <c r="B31" i="19"/>
  <c r="C30" i="19"/>
  <c r="B30" i="19"/>
  <c r="C29" i="19"/>
  <c r="B29" i="19"/>
  <c r="C28" i="19"/>
  <c r="B28" i="19"/>
  <c r="C27" i="19"/>
  <c r="B27" i="19"/>
  <c r="C26" i="19"/>
  <c r="B26" i="19"/>
  <c r="C25" i="19"/>
  <c r="B25" i="19"/>
  <c r="C24" i="19"/>
  <c r="B24" i="19"/>
  <c r="C23" i="19"/>
  <c r="B23" i="19"/>
  <c r="C22" i="19"/>
  <c r="B22" i="19"/>
  <c r="B21" i="19"/>
  <c r="B20" i="19"/>
  <c r="B19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C10" i="19"/>
  <c r="B10" i="19"/>
  <c r="A1" i="2"/>
  <c r="B1" i="7"/>
  <c r="C40" i="1"/>
  <c r="C43" i="1"/>
  <c r="D31" i="1" l="1"/>
  <c r="G19" i="1" s="1"/>
  <c r="F26" i="19"/>
  <c r="G26" i="19"/>
  <c r="E26" i="19"/>
  <c r="E17" i="19"/>
  <c r="G17" i="19"/>
  <c r="F17" i="19"/>
  <c r="H12" i="19"/>
  <c r="G28" i="19"/>
  <c r="H26" i="19"/>
  <c r="G12" i="19"/>
  <c r="H28" i="19"/>
  <c r="F13" i="19"/>
  <c r="E24" i="19"/>
  <c r="E15" i="19"/>
  <c r="H21" i="19"/>
  <c r="F24" i="19"/>
  <c r="H19" i="19"/>
  <c r="F19" i="19"/>
  <c r="G19" i="19"/>
  <c r="F15" i="19"/>
  <c r="H17" i="19"/>
  <c r="E22" i="19"/>
  <c r="G24" i="19"/>
  <c r="E13" i="19"/>
  <c r="G15" i="19"/>
  <c r="F22" i="19"/>
  <c r="H24" i="19"/>
  <c r="E29" i="19"/>
  <c r="H15" i="19"/>
  <c r="E20" i="19"/>
  <c r="G22" i="19"/>
  <c r="F29" i="19"/>
  <c r="E11" i="19"/>
  <c r="G13" i="19"/>
  <c r="F20" i="19"/>
  <c r="H22" i="19"/>
  <c r="E27" i="19"/>
  <c r="G29" i="19"/>
  <c r="F11" i="19"/>
  <c r="H13" i="19"/>
  <c r="E18" i="19"/>
  <c r="G20" i="19"/>
  <c r="F27" i="19"/>
  <c r="H29" i="19"/>
  <c r="G11" i="19"/>
  <c r="F18" i="19"/>
  <c r="H20" i="19"/>
  <c r="E25" i="19"/>
  <c r="D25" i="19" s="1"/>
  <c r="G27" i="19"/>
  <c r="H11" i="19"/>
  <c r="E16" i="19"/>
  <c r="G18" i="19"/>
  <c r="F25" i="19"/>
  <c r="H27" i="19"/>
  <c r="F16" i="19"/>
  <c r="H18" i="19"/>
  <c r="E23" i="19"/>
  <c r="G25" i="19"/>
  <c r="E14" i="19"/>
  <c r="G16" i="19"/>
  <c r="F23" i="19"/>
  <c r="H25" i="19"/>
  <c r="E30" i="19"/>
  <c r="D30" i="19" s="1"/>
  <c r="F14" i="19"/>
  <c r="H16" i="19"/>
  <c r="E21" i="19"/>
  <c r="G23" i="19"/>
  <c r="F30" i="19"/>
  <c r="E12" i="19"/>
  <c r="G14" i="19"/>
  <c r="F21" i="19"/>
  <c r="H23" i="19"/>
  <c r="E28" i="19"/>
  <c r="G30" i="19"/>
  <c r="F12" i="19"/>
  <c r="H14" i="19"/>
  <c r="E19" i="19"/>
  <c r="D19" i="19" s="1"/>
  <c r="G21" i="19"/>
  <c r="F28" i="19"/>
  <c r="H26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E26" i="1" l="1"/>
  <c r="E22" i="1"/>
  <c r="E18" i="1"/>
  <c r="G21" i="1"/>
  <c r="G17" i="1"/>
  <c r="G13" i="1"/>
  <c r="F29" i="1"/>
  <c r="F25" i="1"/>
  <c r="F21" i="1"/>
  <c r="F13" i="1"/>
  <c r="G16" i="1"/>
  <c r="G12" i="1"/>
  <c r="F28" i="1"/>
  <c r="G26" i="1"/>
  <c r="F15" i="1"/>
  <c r="H23" i="1"/>
  <c r="E15" i="1"/>
  <c r="H14" i="1"/>
  <c r="H11" i="1"/>
  <c r="F23" i="1"/>
  <c r="F17" i="1"/>
  <c r="H22" i="1"/>
  <c r="F22" i="1"/>
  <c r="H16" i="1"/>
  <c r="E19" i="1"/>
  <c r="F18" i="1"/>
  <c r="H12" i="1"/>
  <c r="H30" i="1"/>
  <c r="F14" i="1"/>
  <c r="G28" i="1"/>
  <c r="H18" i="1"/>
  <c r="E11" i="1"/>
  <c r="G24" i="1"/>
  <c r="F27" i="1"/>
  <c r="E30" i="1"/>
  <c r="G20" i="1"/>
  <c r="E16" i="1"/>
  <c r="G15" i="1"/>
  <c r="G30" i="1"/>
  <c r="G22" i="1"/>
  <c r="H29" i="1"/>
  <c r="E25" i="1"/>
  <c r="F20" i="1"/>
  <c r="E12" i="1"/>
  <c r="E27" i="1"/>
  <c r="E29" i="1"/>
  <c r="F16" i="1"/>
  <c r="E23" i="1"/>
  <c r="E14" i="1"/>
  <c r="F24" i="1"/>
  <c r="H25" i="1"/>
  <c r="E21" i="1"/>
  <c r="D21" i="1" s="1"/>
  <c r="E20" i="1"/>
  <c r="H21" i="1"/>
  <c r="E17" i="1"/>
  <c r="E28" i="1"/>
  <c r="G11" i="1"/>
  <c r="G18" i="1"/>
  <c r="E13" i="1"/>
  <c r="D13" i="1" s="1"/>
  <c r="E24" i="1"/>
  <c r="H19" i="1"/>
  <c r="H15" i="1"/>
  <c r="H27" i="1"/>
  <c r="F11" i="1"/>
  <c r="G14" i="1"/>
  <c r="F30" i="1"/>
  <c r="F12" i="1"/>
  <c r="H17" i="1"/>
  <c r="H13" i="1"/>
  <c r="H28" i="1"/>
  <c r="G29" i="1"/>
  <c r="H24" i="1"/>
  <c r="G27" i="1"/>
  <c r="F19" i="1"/>
  <c r="F26" i="1"/>
  <c r="G25" i="1"/>
  <c r="H20" i="1"/>
  <c r="G23" i="1"/>
  <c r="D24" i="19"/>
  <c r="D17" i="19"/>
  <c r="D16" i="19"/>
  <c r="D26" i="19"/>
  <c r="D21" i="19"/>
  <c r="D11" i="19"/>
  <c r="C18" i="19" s="1"/>
  <c r="D20" i="19"/>
  <c r="D29" i="19"/>
  <c r="D14" i="19"/>
  <c r="C21" i="19" s="1"/>
  <c r="D28" i="19"/>
  <c r="D23" i="19"/>
  <c r="D18" i="19"/>
  <c r="D13" i="19"/>
  <c r="C20" i="19" s="1"/>
  <c r="D22" i="19"/>
  <c r="D12" i="19"/>
  <c r="C19" i="19" s="1"/>
  <c r="D27" i="19"/>
  <c r="D15" i="19"/>
  <c r="D26" i="1" l="1"/>
  <c r="C33" i="1" s="1"/>
  <c r="D28" i="1"/>
  <c r="C35" i="1" s="1"/>
  <c r="D17" i="1"/>
  <c r="C24" i="1" s="1"/>
  <c r="D22" i="1"/>
  <c r="C29" i="1" s="1"/>
  <c r="D15" i="1"/>
  <c r="C22" i="1" s="1"/>
  <c r="D18" i="1"/>
  <c r="C25" i="1" s="1"/>
  <c r="D19" i="1"/>
  <c r="C26" i="1" s="1"/>
  <c r="D27" i="1"/>
  <c r="C34" i="1" s="1"/>
  <c r="D23" i="1"/>
  <c r="C30" i="1" s="1"/>
  <c r="D29" i="1"/>
  <c r="C36" i="1" s="1"/>
  <c r="D14" i="1"/>
  <c r="C21" i="1" s="1"/>
  <c r="D25" i="1"/>
  <c r="C32" i="1" s="1"/>
  <c r="D12" i="1"/>
  <c r="C19" i="1" s="1"/>
  <c r="D30" i="1"/>
  <c r="C37" i="1" s="1"/>
  <c r="D11" i="1"/>
  <c r="C18" i="1" s="1"/>
  <c r="D16" i="1"/>
  <c r="C23" i="1" s="1"/>
  <c r="C28" i="1"/>
  <c r="D24" i="1"/>
  <c r="C31" i="1" s="1"/>
  <c r="D20" i="1"/>
  <c r="C27" i="1" s="1"/>
  <c r="C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3B729C4-FADC-4A0B-A85F-06C67EC95138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26E38CEB-27D2-4DD4-AF25-5A67B2F57D33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  <comment ref="D31" authorId="0" shapeId="0" xr:uid="{F8B1928B-EA67-433D-B15B-B1A71F917C0E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If video is less than 1 hour the first space character in a timeline entry  will be at position 6. 
If more than 1 hour this position will be a colon.
Note: We only need to test one line of the Timeline to determine this.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  <comment ref="D31" authorId="0" shapeId="0" xr:uid="{AF36770A-8546-480B-B489-08A65F0D115D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If video is less than 1 hour the first space character in a timeline entry  will be at position 6. 
If more than 1 hour this position will be a colon.
Note: We only need to test one line of the Timeline to determine this.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18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19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20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21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22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23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24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<sst xmlns="http://schemas.openxmlformats.org/spreadsheetml/2006/main" count="187" uniqueCount="149">
  <si>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</si>
  <si>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</si>
  <si>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</si>
  <si>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</si>
  <si>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</si>
  <si>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</si>
  <si>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</si>
  <si>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</si>
  <si>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</si>
  <si>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</si>
  <si>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</si>
  <si>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</si>
  <si>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</si>
  <si>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</si>
  <si>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</si>
  <si>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</si>
  <si>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</si>
  <si>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</si>
  <si>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Copy the output text to the YouTube description box</t>
  </si>
  <si>
    <t>https://youtu.be/_K-W8S6AVDE</t>
  </si>
  <si>
    <t>Timeline</t>
  </si>
  <si>
    <t>Do Not Change the Grey Boxes</t>
  </si>
  <si>
    <t>Note: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</si>
  <si>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</si>
  <si>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</si>
  <si>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</si>
  <si>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</si>
  <si>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</si>
  <si>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</si>
  <si>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</si>
  <si>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</si>
  <si>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</si>
  <si>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</si>
  <si>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</si>
  <si>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t>https://billjustice.com/youtube_chapter_generator</t>
  </si>
  <si>
    <t>Paste the converted timeline where indicated.</t>
  </si>
  <si>
    <t>Copy the MERG output text to the WiKi page (must do a paste as plain text)</t>
  </si>
  <si>
    <t>Save your work. There is no need to delete the working sheets.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</si>
  <si>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</si>
  <si>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</si>
  <si>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enter the details in the yellow sections.</t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</si>
  <si>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 and use this URL to convert it to text</t>
    </r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</si>
  <si>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</si>
  <si>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</si>
  <si>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</si>
  <si>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</si>
  <si>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</si>
  <si>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</si>
  <si>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</si>
  <si>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</si>
  <si>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</si>
  <si>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t>Click the button on the right to copy the template to a new sheet (You will be prompted for a new Sheet name)</t>
  </si>
  <si>
    <r>
      <t xml:space="preserve">This worksheet uses Macros to copy the template sheet and to process text strings. 
</t>
    </r>
    <r>
      <rPr>
        <b/>
        <sz val="14"/>
        <color rgb="FFC00000"/>
        <rFont val="Calibri"/>
        <family val="2"/>
        <scheme val="minor"/>
      </rPr>
      <t>To use it you will need to enable Macros for it to work properly</t>
    </r>
    <r>
      <rPr>
        <sz val="14"/>
        <color rgb="FFC00000"/>
        <rFont val="Calibri"/>
        <family val="2"/>
        <scheme val="minor"/>
      </rPr>
      <t>.</t>
    </r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</si>
  <si>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</si>
  <si>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</si>
  <si>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</si>
  <si>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</si>
  <si>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Less than 1 Hour ?</t>
  </si>
  <si>
    <t xml:space="preserve">00:00 Start </t>
  </si>
  <si>
    <t xml:space="preserve">00:24 Introduce Side Camera </t>
  </si>
  <si>
    <t xml:space="preserve">01:56 Sound Clap </t>
  </si>
  <si>
    <t xml:space="preserve">03:12 Zoomies </t>
  </si>
  <si>
    <t>Long Description here. Use \\ as EOL marker to force a new line on Wiki.</t>
  </si>
  <si>
    <t>Alan Lomax presents a short video while testing audio levels.</t>
  </si>
  <si>
    <t>In this video Alan Lomax introduces utilizes his new recording studio (Which was purpose built to rival Abbey Road) .</t>
  </si>
  <si>
    <t>Test Code Generator</t>
  </si>
  <si>
    <t>Might have been a Zoom Meeting 29th February 2023</t>
  </si>
  <si>
    <t>Random Bits and Bobs</t>
  </si>
  <si>
    <r>
      <rPr>
        <b/>
        <sz val="11"/>
        <color theme="1"/>
        <rFont val="Calibri"/>
        <family val="2"/>
        <scheme val="minor"/>
      </rPr>
      <t>Feedback from Martin Decosta and minor improvements.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theme="9" tint="-0.249977111117893"/>
        <rFont val="Calibri"/>
        <family val="2"/>
        <scheme val="minor"/>
      </rPr>
      <t>Instructions: Add warning Re Macros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theme="9" tint="-0.249977111117893"/>
        <rFont val="Calibri"/>
        <family val="2"/>
        <scheme val="minor"/>
      </rPr>
      <t>Template - Revise Formulae (Case for Videos less than 1 hour)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theme="9" tint="-0.249977111117893"/>
        <rFont val="Calibri"/>
        <family val="2"/>
        <scheme val="minor"/>
      </rPr>
      <t xml:space="preserve">Template: Lock Cells as appropriate to prevent inadvertent change (Done - </t>
    </r>
    <r>
      <rPr>
        <b/>
        <sz val="11"/>
        <color theme="9" tint="-0.249977111117893"/>
        <rFont val="Calibri"/>
        <family val="2"/>
        <scheme val="minor"/>
      </rPr>
      <t>Password = MERG</t>
    </r>
    <r>
      <rPr>
        <sz val="11"/>
        <color theme="9" tint="-0.249977111117893"/>
        <rFont val="Calibri"/>
        <family val="2"/>
        <scheme val="minor"/>
      </rPr>
      <t xml:space="preserve">)
</t>
    </r>
    <r>
      <rPr>
        <sz val="11"/>
        <color rgb="FFFF0000"/>
        <rFont val="Calibri"/>
        <family val="2"/>
        <scheme val="minor"/>
      </rPr>
      <t>NEW: Add built in decoding of EDL files</t>
    </r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</si>
  <si>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</si>
  <si>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</si>
  <si>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</si>
  <si>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</si>
  <si>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</si>
  <si>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</si>
  <si>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</si>
  <si>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</si>
  <si>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</si>
  <si>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</si>
  <si>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</si>
  <si>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001</t>
  </si>
  <si>
    <t>Start</t>
  </si>
  <si>
    <t>002</t>
  </si>
  <si>
    <t>Topics</t>
  </si>
  <si>
    <t>003</t>
  </si>
  <si>
    <t>What is RFID?</t>
  </si>
  <si>
    <t>004</t>
  </si>
  <si>
    <t>RFID Vocabulary</t>
  </si>
  <si>
    <t>005</t>
  </si>
  <si>
    <t>Vocabulary Summary  in Pictures</t>
  </si>
  <si>
    <t>006</t>
  </si>
  <si>
    <t>RFID Standards</t>
  </si>
  <si>
    <t>007</t>
  </si>
  <si>
    <t>Choice of Frequency</t>
  </si>
  <si>
    <t>008</t>
  </si>
  <si>
    <t>Q&amp;A Intermission</t>
  </si>
  <si>
    <t>PowerScript Below - Do NOT modify.</t>
  </si>
  <si>
    <t>009</t>
  </si>
  <si>
    <t>Example: RF Field Strength Tester</t>
  </si>
  <si>
    <t>010</t>
  </si>
  <si>
    <t>Part 2 - RFID Usage Cases</t>
  </si>
  <si>
    <t>011</t>
  </si>
  <si>
    <t>Multiple Data Consumers</t>
  </si>
  <si>
    <t xml:space="preserve">    #"Removed Top Rows" = Table.Skip(Source,3),</t>
  </si>
  <si>
    <t>012</t>
  </si>
  <si>
    <t>Summary and Wrap Up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</si>
  <si>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</si>
  <si>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</si>
  <si>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</si>
  <si>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</si>
  <si>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</si>
  <si>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</si>
  <si>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</si>
  <si>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</si>
  <si>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</si>
  <si>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</si>
  <si>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</si>
  <si>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</si>
  <si>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</si>
  <si>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</si>
  <si>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</si>
  <si>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</si>
  <si>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</si>
  <si>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</si>
  <si>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</si>
  <si>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</si>
  <si>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</si>
  <si>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</si>
  <si>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</si>
  <si>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</si>
  <si>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</si>
  <si>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</si>
  <si>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</si>
  <si>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</si>
  <si>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</si>
  <si>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#"Inserted Subtraction" = Table.AddColumn(#"Renamed Columns3", "Subtraction", each [Start Hr] - 1, type number),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</si>
  <si>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</si>
  <si>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</si>
  <si>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</si>
  <si>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#"Inserted Subtraction1" = Table.AddColumn(#"Renamed Columns4", "Subtraction", each [End Hr] - 1, type number),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</si>
  <si>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</si>
  <si>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</si>
  <si>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</si>
  <si>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</si>
  <si>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</si>
  <si>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</si>
  <si>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</si>
  <si>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</si>
  <si>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 xml:space="preserve">    Source = Table.FromColumns({Lines.FromBinary(File.Contents("D:\Timeline 1.edl"), null, null, 1252)}),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</si>
</sst>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rgb="FFFF00FF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7" borderId="2" xfId="0" applyFill="1" applyBorder="1"/>
    <xf numFmtId="0" fontId="0" fillId="3" borderId="5" xfId="0" applyFill="1" applyBorder="1"/>
    <xf numFmtId="0" fontId="0" fillId="3" borderId="5" xfId="0" applyFill="1" applyBorder="1" applyAlignment="1">
      <alignment wrapText="1"/>
    </xf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8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8" fillId="2" borderId="5" xfId="0" applyFont="1" applyFill="1" applyBorder="1" applyAlignment="1">
      <alignment horizontal="center"/>
    </xf>
    <xf numFmtId="0" fontId="0" fillId="0" borderId="8" xfId="0" applyBorder="1"/>
    <xf numFmtId="0" fontId="10" fillId="0" borderId="0" xfId="1" applyBorder="1"/>
    <xf numFmtId="0" fontId="8" fillId="2" borderId="6" xfId="0" applyFont="1" applyFill="1" applyBorder="1" applyAlignment="1">
      <alignment horizontal="center"/>
    </xf>
    <xf numFmtId="0" fontId="8" fillId="0" borderId="14" xfId="0" applyFont="1" applyBorder="1"/>
    <xf numFmtId="0" fontId="0" fillId="0" borderId="14" xfId="0" applyBorder="1"/>
    <xf numFmtId="0" fontId="0" fillId="0" borderId="9" xfId="0" applyBorder="1"/>
    <xf numFmtId="0" fontId="8" fillId="2" borderId="5" xfId="0" applyFont="1" applyFill="1" applyBorder="1" applyAlignment="1">
      <alignment horizontal="center" vertical="center"/>
    </xf>
    <xf numFmtId="0" fontId="7" fillId="11" borderId="10" xfId="0" applyFont="1" applyFill="1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/>
    <xf numFmtId="0" fontId="0" fillId="0" borderId="1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7" fillId="0" borderId="21" xfId="0" applyFont="1" applyBorder="1"/>
    <xf numFmtId="0" fontId="0" fillId="0" borderId="21" xfId="0" applyBorder="1"/>
    <xf numFmtId="15" fontId="0" fillId="0" borderId="21" xfId="0" applyNumberForma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0" fillId="3" borderId="0" xfId="1" applyFill="1"/>
    <xf numFmtId="0" fontId="0" fillId="0" borderId="24" xfId="0" applyBorder="1" applyAlignment="1">
      <alignment horizontal="left" vertical="center" wrapText="1"/>
    </xf>
    <xf numFmtId="0" fontId="16" fillId="2" borderId="16" xfId="1" applyFont="1" applyFill="1" applyBorder="1" applyAlignment="1">
      <alignment horizontal="center" vertical="center"/>
    </xf>
    <xf numFmtId="0" fontId="9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7" fillId="2" borderId="16" xfId="0" applyFont="1" applyFill="1" applyBorder="1" applyAlignment="1">
      <alignment horizontal="center"/>
    </xf>
    <xf numFmtId="0" fontId="0" fillId="7" borderId="5" xfId="0" applyFill="1" applyBorder="1"/>
    <xf numFmtId="0" fontId="0" fillId="7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0" fillId="5" borderId="31" xfId="0" applyFill="1" applyBorder="1" applyAlignment="1">
      <alignment horizontal="center"/>
    </xf>
    <xf numFmtId="0" fontId="7" fillId="5" borderId="32" xfId="0" applyFont="1" applyFill="1" applyBorder="1"/>
    <xf numFmtId="0" fontId="0" fillId="5" borderId="33" xfId="0" applyFill="1" applyBorder="1"/>
    <xf numFmtId="0" fontId="0" fillId="5" borderId="34" xfId="0" applyFill="1" applyBorder="1"/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1" xfId="0" applyFill="1" applyBorder="1" applyProtection="1"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5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5" xfId="0" quotePrefix="1" applyFont="1" applyFill="1" applyBorder="1" applyProtection="1">
      <protection locked="0"/>
    </xf>
    <xf numFmtId="0" fontId="8" fillId="3" borderId="11" xfId="0" applyFont="1" applyFill="1" applyBorder="1" applyAlignment="1">
      <alignment horizontal="left"/>
    </xf>
    <xf numFmtId="0" fontId="8" fillId="3" borderId="12" xfId="0" applyFont="1" applyFill="1" applyBorder="1" applyAlignment="1">
      <alignment horizontal="left"/>
    </xf>
    <xf numFmtId="0" fontId="8" fillId="3" borderId="10" xfId="0" applyFont="1" applyFill="1" applyBorder="1" applyAlignment="1">
      <alignment horizontal="right"/>
    </xf>
    <xf numFmtId="0" fontId="8" fillId="3" borderId="11" xfId="0" applyFont="1" applyFill="1" applyBorder="1" applyAlignment="1">
      <alignment horizontal="right"/>
    </xf>
    <xf numFmtId="0" fontId="8" fillId="3" borderId="12" xfId="0" applyFont="1" applyFill="1" applyBorder="1" applyAlignment="1">
      <alignment horizontal="right"/>
    </xf>
    <xf numFmtId="0" fontId="8" fillId="3" borderId="10" xfId="0" applyFont="1" applyFill="1" applyBorder="1" applyAlignment="1">
      <alignment horizontal="left"/>
    </xf>
    <xf numFmtId="0" fontId="8" fillId="6" borderId="28" xfId="0" applyFont="1" applyFill="1" applyBorder="1" applyAlignment="1">
      <alignment horizontal="center" vertical="center" wrapText="1"/>
    </xf>
    <xf numFmtId="0" fontId="8" fillId="6" borderId="29" xfId="0" applyFont="1" applyFill="1" applyBorder="1" applyAlignment="1">
      <alignment horizontal="center" vertical="center" wrapText="1"/>
    </xf>
    <xf numFmtId="0" fontId="8" fillId="6" borderId="30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wrapText="1"/>
    </xf>
    <xf numFmtId="0" fontId="14" fillId="0" borderId="29" xfId="0" applyFont="1" applyBorder="1" applyAlignment="1">
      <alignment horizontal="center" wrapText="1"/>
    </xf>
    <xf numFmtId="0" fontId="14" fillId="0" borderId="30" xfId="0" applyFont="1" applyBorder="1" applyAlignment="1">
      <alignment horizontal="center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16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C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2</xdr:row>
          <xdr:rowOff>161925</xdr:rowOff>
        </xdr:from>
        <xdr:to>
          <xdr:col>16</xdr:col>
          <xdr:colOff>371475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603223</xdr:colOff>
      <xdr:row>13</xdr:row>
      <xdr:rowOff>38100</xdr:rowOff>
    </xdr:from>
    <xdr:to>
      <xdr:col>24</xdr:col>
      <xdr:colOff>122967</xdr:colOff>
      <xdr:row>40</xdr:row>
      <xdr:rowOff>122842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23" y="3848100"/>
          <a:ext cx="4729919" cy="5418742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19</xdr:row>
      <xdr:rowOff>72882</xdr:rowOff>
    </xdr:from>
    <xdr:to>
      <xdr:col>15</xdr:col>
      <xdr:colOff>501635</xdr:colOff>
      <xdr:row>36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50" y="5025882"/>
          <a:ext cx="9740885" cy="33084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2</xdr:row>
          <xdr:rowOff>123825</xdr:rowOff>
        </xdr:from>
        <xdr:to>
          <xdr:col>2</xdr:col>
          <xdr:colOff>2771775</xdr:colOff>
          <xdr:row>4</xdr:row>
          <xdr:rowOff>85725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2EACDE5C-7422-45FF-B161-82ACFF3E9BB4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9DAE35A-4234-41CB-BF9B-2471454FC729}" name="Table_ExternalData_1" displayName="Table_ExternalData_1" ref="A1:J13" tableType="queryTable" totalsRowShown="0" headerRowDxfId="11" dataDxfId="10">
  <autoFilter ref="A1:J13" xr:uid="{C9DAE35A-4234-41CB-BF9B-2471454FC729}"/>
  <tableColumns count="10">
    <tableColumn id="11" xr3:uid="{E3C928C9-6C54-4C8F-A3A4-9FC6CCC5C0EC}" uniqueName="11" name="Number" queryTableFieldId="1" dataDxfId="9"/>
    <tableColumn id="12" xr3:uid="{43BF6DBC-FB23-4689-9BB5-3DD7BB9C4586}" uniqueName="12" name="Chapter" queryTableFieldId="2" dataDxfId="8"/>
    <tableColumn id="13" xr3:uid="{914B6A28-EC84-4BE8-8018-28F6CEA764D8}" uniqueName="13" name="Start Hr" queryTableFieldId="3" dataDxfId="7"/>
    <tableColumn id="14" xr3:uid="{1B81F1E9-7D94-4D37-8D5D-556BB17C1A62}" uniqueName="14" name="Start Min" queryTableFieldId="4" dataDxfId="6"/>
    <tableColumn id="15" xr3:uid="{5354D4A2-B625-408C-B1CA-2892305DEAD3}" uniqueName="15" name="Start Sec" queryTableFieldId="5" dataDxfId="5"/>
    <tableColumn id="16" xr3:uid="{0AE2ECC2-27EE-4BD7-BCE0-564F646567FA}" uniqueName="16" name="Start mSec" queryTableFieldId="6" dataDxfId="4"/>
    <tableColumn id="17" xr3:uid="{BCFA82EC-FBE7-4CA5-BD64-E1966427562E}" uniqueName="17" name="End Hr" queryTableFieldId="7" dataDxfId="3"/>
    <tableColumn id="18" xr3:uid="{4D56D767-B2A5-4BBB-B7A6-4A4DB1D722D7}" uniqueName="18" name="End Min" queryTableFieldId="8" dataDxfId="2"/>
    <tableColumn id="19" xr3:uid="{C625F25D-7A45-4EC3-A6C4-FBAB7074CAFF}" uniqueName="19" name="End Sec" queryTableFieldId="9" dataDxfId="1"/>
    <tableColumn id="20" xr3:uid="{90D06969-E821-45D0-B617-ADDA53B29AF0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illjustice.com/youtube_chapter_generator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8"/>
  <sheetViews>
    <sheetView workbookViewId="0">
      <selection activeCell="A4" sqref="A4"/>
    </sheetView>
  </sheetViews>
  <sheetFormatPr defaultRowHeight="15" x14ac:dyDescent="0.25"/>
  <cols>
    <col min="1" max="1" width="12.5703125" customWidth="1"/>
    <col min="19" max="19" width="14.140625" customWidth="1"/>
  </cols>
  <sheetData>
    <row r="1" spans="1:19" ht="35.25" customHeight="1" thickBot="1" x14ac:dyDescent="0.35">
      <c r="A1" s="48" t="str">
        <f>"Rev: " &amp; 'Revision Control'!B1</f>
        <v>Rev: 0.1</v>
      </c>
      <c r="B1" s="107" t="s">
        <v>52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9"/>
    </row>
    <row r="2" spans="1:19" ht="84" customHeight="1" thickBot="1" x14ac:dyDescent="0.3">
      <c r="A2" s="20"/>
      <c r="B2" s="104" t="s">
        <v>53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6"/>
    </row>
    <row r="3" spans="1:19" ht="18.75" x14ac:dyDescent="0.3">
      <c r="A3" s="20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14"/>
    </row>
    <row r="4" spans="1:19" ht="18.75" x14ac:dyDescent="0.3">
      <c r="A4" s="13">
        <v>1</v>
      </c>
      <c r="B4" s="7" t="s">
        <v>51</v>
      </c>
      <c r="C4" s="7"/>
      <c r="D4" s="7"/>
      <c r="E4" s="7"/>
      <c r="F4" s="7"/>
      <c r="G4" s="7"/>
      <c r="H4" s="7"/>
      <c r="I4" s="7"/>
      <c r="J4" s="7"/>
      <c r="K4" s="7"/>
      <c r="L4" s="7"/>
      <c r="S4" s="14"/>
    </row>
    <row r="5" spans="1:19" ht="18.75" x14ac:dyDescent="0.3">
      <c r="A5" s="13">
        <v>2</v>
      </c>
      <c r="B5" s="7" t="s">
        <v>40</v>
      </c>
      <c r="C5" s="7"/>
      <c r="D5" s="7"/>
      <c r="E5" s="7"/>
      <c r="F5" s="7"/>
      <c r="G5" s="7"/>
      <c r="H5" s="7"/>
      <c r="I5" s="7"/>
      <c r="J5" s="7"/>
      <c r="K5" s="7"/>
      <c r="L5" s="7"/>
      <c r="S5" s="14"/>
    </row>
    <row r="6" spans="1:19" ht="18.75" x14ac:dyDescent="0.3">
      <c r="A6" s="13">
        <v>3</v>
      </c>
      <c r="B6" s="7" t="s">
        <v>41</v>
      </c>
      <c r="C6" s="7"/>
      <c r="D6" s="7"/>
      <c r="E6" s="7"/>
      <c r="F6" s="7"/>
      <c r="G6" s="7"/>
      <c r="H6" s="7"/>
      <c r="I6" s="7"/>
      <c r="J6" s="7"/>
      <c r="K6" s="7"/>
      <c r="L6" s="7"/>
      <c r="N6" s="15" t="s">
        <v>34</v>
      </c>
      <c r="S6" s="14"/>
    </row>
    <row r="7" spans="1:19" ht="18.75" x14ac:dyDescent="0.3">
      <c r="A7" s="13">
        <v>4</v>
      </c>
      <c r="B7" s="7" t="s">
        <v>35</v>
      </c>
      <c r="C7" s="7"/>
      <c r="D7" s="7"/>
      <c r="E7" s="7"/>
      <c r="F7" s="7"/>
      <c r="G7" s="7"/>
      <c r="H7" s="7"/>
      <c r="I7" s="7"/>
      <c r="J7" s="7"/>
      <c r="K7" s="7"/>
      <c r="L7" s="7"/>
      <c r="S7" s="14"/>
    </row>
    <row r="8" spans="1:19" ht="18.75" x14ac:dyDescent="0.3">
      <c r="A8" s="13">
        <v>5</v>
      </c>
      <c r="B8" s="7" t="s">
        <v>18</v>
      </c>
      <c r="S8" s="14"/>
    </row>
    <row r="9" spans="1:19" ht="18.75" x14ac:dyDescent="0.3">
      <c r="A9" s="13">
        <v>6</v>
      </c>
      <c r="B9" s="7" t="s">
        <v>36</v>
      </c>
      <c r="S9" s="14"/>
    </row>
    <row r="10" spans="1:19" ht="19.5" thickBot="1" x14ac:dyDescent="0.35">
      <c r="A10" s="16">
        <v>7</v>
      </c>
      <c r="B10" s="17" t="s">
        <v>37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9"/>
    </row>
    <row r="11" spans="1:19" ht="18.75" x14ac:dyDescent="0.3">
      <c r="A11" s="7"/>
      <c r="B11" s="7"/>
    </row>
    <row r="13" spans="1:19" ht="15.75" thickBot="1" x14ac:dyDescent="0.3"/>
    <row r="14" spans="1:19" ht="19.5" thickBot="1" x14ac:dyDescent="0.35">
      <c r="A14" s="21" t="s">
        <v>22</v>
      </c>
      <c r="B14" s="98" t="s">
        <v>32</v>
      </c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9"/>
    </row>
    <row r="15" spans="1:19" ht="15.75" thickBot="1" x14ac:dyDescent="0.3"/>
    <row r="16" spans="1:19" ht="19.5" thickBot="1" x14ac:dyDescent="0.35">
      <c r="B16" s="100" t="s">
        <v>38</v>
      </c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2"/>
    </row>
    <row r="17" spans="2:16" ht="15.75" thickBot="1" x14ac:dyDescent="0.3"/>
    <row r="18" spans="2:16" ht="19.5" thickBot="1" x14ac:dyDescent="0.35">
      <c r="B18" s="103" t="s">
        <v>33</v>
      </c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9"/>
    </row>
  </sheetData>
  <mergeCells count="5">
    <mergeCell ref="B14:P14"/>
    <mergeCell ref="B16:P16"/>
    <mergeCell ref="B18:P18"/>
    <mergeCell ref="B2:S2"/>
    <mergeCell ref="B1:S1"/>
  </mergeCells>
  <hyperlinks>
    <hyperlink ref="N6" r:id="rId1" xr:uid="{FED08CBD-31E9-4B69-844D-8B4E84EB92B0}"/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opyTemplate">
                <anchor moveWithCells="1" sizeWithCells="1">
                  <from>
                    <xdr:col>14</xdr:col>
                    <xdr:colOff>342900</xdr:colOff>
                    <xdr:row>2</xdr:row>
                    <xdr:rowOff>161925</xdr:rowOff>
                  </from>
                  <to>
                    <xdr:col>16</xdr:col>
                    <xdr:colOff>371475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4323-AD5B-49B6-B863-5102C2F70DC7}">
  <sheetPr codeName="Sheet4">
    <tabColor theme="9" tint="-0.249977111117893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2.5703125" bestFit="1" customWidth="1"/>
    <col min="10" max="10" width="34" customWidth="1"/>
  </cols>
  <sheetData>
    <row r="1" spans="1:14" ht="15.75" thickBot="1" x14ac:dyDescent="0.3">
      <c r="A1" s="52"/>
      <c r="B1" s="53" t="s">
        <v>17</v>
      </c>
    </row>
    <row r="2" spans="1:14" ht="17.25" customHeight="1" x14ac:dyDescent="0.25">
      <c r="A2" s="8" t="s">
        <v>5</v>
      </c>
      <c r="B2" s="82" t="s">
        <v>19</v>
      </c>
    </row>
    <row r="3" spans="1:14" x14ac:dyDescent="0.25">
      <c r="A3" s="9" t="s">
        <v>25</v>
      </c>
      <c r="B3" s="83" t="s">
        <v>65</v>
      </c>
    </row>
    <row r="4" spans="1:14" x14ac:dyDescent="0.25">
      <c r="A4" s="9" t="s">
        <v>26</v>
      </c>
      <c r="B4" s="83" t="s">
        <v>66</v>
      </c>
    </row>
    <row r="5" spans="1:14" x14ac:dyDescent="0.25">
      <c r="A5" s="9" t="s">
        <v>15</v>
      </c>
      <c r="B5" s="83" t="s">
        <v>67</v>
      </c>
    </row>
    <row r="6" spans="1:14" x14ac:dyDescent="0.25">
      <c r="A6" s="10" t="s">
        <v>56</v>
      </c>
      <c r="B6" s="84">
        <v>5</v>
      </c>
    </row>
    <row r="7" spans="1:14" x14ac:dyDescent="0.25">
      <c r="A7" s="9" t="s">
        <v>27</v>
      </c>
      <c r="B7" s="83" t="s">
        <v>63</v>
      </c>
    </row>
    <row r="8" spans="1:14" ht="48" customHeight="1" thickBot="1" x14ac:dyDescent="0.3">
      <c r="A8" s="9" t="s">
        <v>28</v>
      </c>
      <c r="B8" s="85" t="s">
        <v>64</v>
      </c>
    </row>
    <row r="9" spans="1:14" ht="19.5" thickBot="1" x14ac:dyDescent="0.35">
      <c r="A9" s="49" t="s">
        <v>20</v>
      </c>
      <c r="B9" s="51" t="s">
        <v>9</v>
      </c>
      <c r="C9" s="50" t="s">
        <v>8</v>
      </c>
      <c r="D9" s="110" t="s">
        <v>21</v>
      </c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86" t="s">
        <v>58</v>
      </c>
      <c r="B10" s="3" t="str">
        <f>OneLineDescription</f>
        <v>Alan Lomax presents a short video while testing audio levels.</v>
      </c>
      <c r="C10" s="55" t="str">
        <f>WRAPbox</f>
        <v>&lt;WRAP box&gt;</v>
      </c>
      <c r="D10" s="89" t="s">
        <v>4</v>
      </c>
      <c r="E10" s="90" t="s">
        <v>0</v>
      </c>
      <c r="F10" s="90" t="s">
        <v>1</v>
      </c>
      <c r="G10" s="90" t="s">
        <v>2</v>
      </c>
      <c r="H10" s="91" t="s">
        <v>3</v>
      </c>
    </row>
    <row r="11" spans="1:14" ht="45" x14ac:dyDescent="0.25">
      <c r="A11" s="87" t="s">
        <v>59</v>
      </c>
      <c r="B11" s="4" t="str">
        <f xml:space="preserve"> YT_Show_More</f>
        <v>Press 'Show More' to review the timeline and jump to a specific chapter.
Timeline:</v>
      </c>
      <c r="C11" s="56" t="str">
        <f xml:space="preserve"> "=====" &amp; BoxTitle &amp; "====="</f>
        <v>=====Test Code Generator=====</v>
      </c>
      <c r="D11" s="68">
        <f t="shared" ref="D11:D30" si="0">(3600*E11)+(60*F11)+G11</f>
        <v>0</v>
      </c>
      <c r="E11" s="69">
        <f t="shared" ref="E11:E30" si="1">IF(LT1Hr=TRUE,0,MID($A10,1,2))</f>
        <v>0</v>
      </c>
      <c r="F11" s="70" t="str">
        <f t="shared" ref="F11:F30" si="2">IF(LT1Hr=TRUE,MID($A10,1,2),MID($A10,4,2))</f>
        <v>00</v>
      </c>
      <c r="G11" s="70" t="str">
        <f t="shared" ref="G11:G30" si="3">IF(LT1Hr=TRUE,MID($A10,4,2),MID($A10,7,2))</f>
        <v>00</v>
      </c>
      <c r="H11" s="71" t="str">
        <f t="shared" ref="H11:H30" si="4">IF(LT1Hr=TRUE,MID($A10,7,99),MID($A10,10,99))</f>
        <v xml:space="preserve">Start </v>
      </c>
      <c r="I11" s="58" t="s">
        <v>7</v>
      </c>
      <c r="J11" s="113" t="s">
        <v>11</v>
      </c>
      <c r="K11" s="114"/>
      <c r="L11" s="114"/>
      <c r="M11" s="114"/>
      <c r="N11" s="115"/>
    </row>
    <row r="12" spans="1:14" x14ac:dyDescent="0.25">
      <c r="A12" s="87" t="s">
        <v>60</v>
      </c>
      <c r="B12" s="3" t="str">
        <f>IF(A10="Paste timeline here ONLY","",IF(ISBLANK(A10),"",A10))</f>
        <v xml:space="preserve">00:00 Start </v>
      </c>
      <c r="C12" s="56" t="str">
        <f xml:space="preserve"> "====" &amp; txtDateTime &amp; "===="</f>
        <v>====Might have been a Zoom Meeting 29th February 2023====</v>
      </c>
      <c r="D12" s="61">
        <f t="shared" si="0"/>
        <v>24</v>
      </c>
      <c r="E12" s="72">
        <f t="shared" si="1"/>
        <v>0</v>
      </c>
      <c r="F12" s="73" t="str">
        <f t="shared" si="2"/>
        <v>00</v>
      </c>
      <c r="G12" s="73" t="str">
        <f t="shared" si="3"/>
        <v>24</v>
      </c>
      <c r="H12" s="67" t="str">
        <f t="shared" si="4"/>
        <v xml:space="preserve">Introduce Side Camera </v>
      </c>
      <c r="I12" s="58" t="s">
        <v>10</v>
      </c>
      <c r="J12" s="61" t="s">
        <v>12</v>
      </c>
      <c r="K12" s="59"/>
      <c r="L12" s="59"/>
      <c r="M12" s="59"/>
      <c r="N12" s="60"/>
    </row>
    <row r="13" spans="1:14" x14ac:dyDescent="0.25">
      <c r="A13" s="87" t="s">
        <v>61</v>
      </c>
      <c r="B13" s="3" t="str">
        <f>IF(ISBLANK(A11),"",A11)</f>
        <v xml:space="preserve">00:24 Introduce Side Camera </v>
      </c>
      <c r="C13" s="56" t="str">
        <f xml:space="preserve"> "===" &amp; VideoTitle &amp; "==="</f>
        <v>===Random Bits and Bobs===</v>
      </c>
      <c r="D13" s="61">
        <f t="shared" si="0"/>
        <v>116</v>
      </c>
      <c r="E13" s="72">
        <f t="shared" si="1"/>
        <v>0</v>
      </c>
      <c r="F13" s="73" t="str">
        <f t="shared" si="2"/>
        <v>01</v>
      </c>
      <c r="G13" s="73" t="str">
        <f t="shared" si="3"/>
        <v>56</v>
      </c>
      <c r="H13" s="67" t="str">
        <f t="shared" si="4"/>
        <v xml:space="preserve">Sound Clap </v>
      </c>
      <c r="I13" s="58" t="s">
        <v>10</v>
      </c>
      <c r="J13" s="61" t="s">
        <v>13</v>
      </c>
      <c r="K13" s="62"/>
      <c r="L13" s="62"/>
      <c r="M13" s="62"/>
      <c r="N13" s="63"/>
    </row>
    <row r="14" spans="1:14" x14ac:dyDescent="0.25">
      <c r="A14" s="87"/>
      <c r="B14" s="3" t="str">
        <f t="shared" ref="B14:B31" si="5">IF(ISBLANK(A12),"",A12)</f>
        <v xml:space="preserve">01:56 Sound Clap </v>
      </c>
      <c r="C14" s="56" t="str">
        <f>WRAPcolumn</f>
        <v>&lt;WRAP column&gt;</v>
      </c>
      <c r="D14" s="61">
        <f t="shared" si="0"/>
        <v>192</v>
      </c>
      <c r="E14" s="72">
        <f t="shared" si="1"/>
        <v>0</v>
      </c>
      <c r="F14" s="73" t="str">
        <f t="shared" si="2"/>
        <v>03</v>
      </c>
      <c r="G14" s="73" t="str">
        <f t="shared" si="3"/>
        <v>12</v>
      </c>
      <c r="H14" s="67" t="str">
        <f t="shared" si="4"/>
        <v xml:space="preserve">Zoomies </v>
      </c>
      <c r="I14" s="58" t="s">
        <v>10</v>
      </c>
      <c r="J14" s="61" t="s">
        <v>14</v>
      </c>
      <c r="K14" s="62"/>
      <c r="L14" s="62"/>
      <c r="M14" s="62"/>
      <c r="N14" s="63"/>
    </row>
    <row r="15" spans="1:14" x14ac:dyDescent="0.25">
      <c r="A15" s="87"/>
      <c r="B15" s="3" t="str">
        <f t="shared" si="5"/>
        <v xml:space="preserve">03:12 Zoomies </v>
      </c>
      <c r="C15" s="56" t="str">
        <f>WRAPcolumnhalf</f>
        <v>&lt;WRAP column half&gt;</v>
      </c>
      <c r="D15" s="61" t="e">
        <f t="shared" si="0"/>
        <v>#VALUE!</v>
      </c>
      <c r="E15" s="72">
        <f t="shared" si="1"/>
        <v>0</v>
      </c>
      <c r="F15" s="73" t="str">
        <f t="shared" si="2"/>
        <v/>
      </c>
      <c r="G15" s="73" t="str">
        <f t="shared" si="3"/>
        <v/>
      </c>
      <c r="H15" s="67" t="str">
        <f t="shared" si="4"/>
        <v/>
      </c>
      <c r="I15" s="58" t="s">
        <v>10</v>
      </c>
      <c r="J15" s="64" t="s">
        <v>16</v>
      </c>
      <c r="K15" s="62"/>
      <c r="L15" s="62"/>
      <c r="M15" s="62"/>
      <c r="N15" s="63"/>
    </row>
    <row r="16" spans="1:14" x14ac:dyDescent="0.25">
      <c r="A16" s="87"/>
      <c r="B16" s="3" t="str">
        <f t="shared" si="5"/>
        <v/>
      </c>
      <c r="C16" s="57" t="str">
        <f>LongDescription</f>
        <v>In this video Alan Lomax introduces utilizes his new recording studio (Which was purpose built to rival Abbey Road) .</v>
      </c>
      <c r="D16" s="61" t="e">
        <f t="shared" si="0"/>
        <v>#VALUE!</v>
      </c>
      <c r="E16" s="72">
        <f t="shared" si="1"/>
        <v>0</v>
      </c>
      <c r="F16" s="73" t="str">
        <f t="shared" si="2"/>
        <v/>
      </c>
      <c r="G16" s="73" t="str">
        <f t="shared" si="3"/>
        <v/>
      </c>
      <c r="H16" s="67" t="str">
        <f t="shared" si="4"/>
        <v/>
      </c>
      <c r="I16" s="58" t="s">
        <v>10</v>
      </c>
      <c r="J16" s="65" t="s">
        <v>23</v>
      </c>
      <c r="K16" s="66"/>
      <c r="L16" s="66"/>
      <c r="M16" s="66"/>
      <c r="N16" s="67"/>
    </row>
    <row r="17" spans="1:14" x14ac:dyDescent="0.25">
      <c r="A17" s="87"/>
      <c r="B17" s="3" t="str">
        <f t="shared" si="5"/>
        <v/>
      </c>
      <c r="C17" s="57" t="str">
        <f>EOL</f>
        <v>\\</v>
      </c>
      <c r="D17" s="61" t="e">
        <f t="shared" si="0"/>
        <v>#VALUE!</v>
      </c>
      <c r="E17" s="72">
        <f t="shared" si="1"/>
        <v>0</v>
      </c>
      <c r="F17" s="73" t="str">
        <f t="shared" si="2"/>
        <v/>
      </c>
      <c r="G17" s="73" t="str">
        <f t="shared" si="3"/>
        <v/>
      </c>
      <c r="H17" s="67" t="str">
        <f t="shared" si="4"/>
        <v/>
      </c>
      <c r="I17" s="58"/>
      <c r="J17" s="65"/>
      <c r="K17" s="66"/>
      <c r="L17" s="66"/>
      <c r="M17" s="66"/>
      <c r="N17" s="67"/>
    </row>
    <row r="18" spans="1:14" x14ac:dyDescent="0.25">
      <c r="A18" s="87"/>
      <c r="B18" s="3" t="str">
        <f t="shared" si="5"/>
        <v/>
      </c>
      <c r="C18" s="54" t="str">
        <f>IF($A10 = "Paste timeline here ONLY","","[["&amp;YT_URL&amp;"?t="&amp;$D11&amp;"|"&amp; IF(LT1Hr = FALSE,MID($A10,1,8), MID($A10,1,5))&amp;"]] " &amp;$H11&amp;"\\")</f>
        <v>[[https://youtu.be/_K-W8S6AVDE?t=0|00:00]] Start \\</v>
      </c>
      <c r="D18" s="61" t="e">
        <f t="shared" si="0"/>
        <v>#VALUE!</v>
      </c>
      <c r="E18" s="72">
        <f t="shared" si="1"/>
        <v>0</v>
      </c>
      <c r="F18" s="73" t="str">
        <f t="shared" si="2"/>
        <v/>
      </c>
      <c r="G18" s="73" t="str">
        <f t="shared" si="3"/>
        <v/>
      </c>
      <c r="H18" s="67" t="str">
        <f t="shared" si="4"/>
        <v/>
      </c>
    </row>
    <row r="19" spans="1:14" x14ac:dyDescent="0.25">
      <c r="A19" s="87"/>
      <c r="B19" s="3" t="str">
        <f t="shared" si="5"/>
        <v/>
      </c>
      <c r="C19" s="54" t="str">
        <f t="shared" ref="C19:C37" si="6">IF(ISBLANK($A11),"","[["&amp;YT_URL&amp;"?t="&amp;$D12&amp;"|"&amp; IF(LT1Hr = FALSE,MID($A11,1,8), MID($A11,1,5))&amp;"]] " &amp;$H12&amp;"\\")</f>
        <v>[[https://youtu.be/_K-W8S6AVDE?t=24|00:24]] Introduce Side Camera \\</v>
      </c>
      <c r="D19" s="61" t="e">
        <f t="shared" si="0"/>
        <v>#VALUE!</v>
      </c>
      <c r="E19" s="72">
        <f t="shared" si="1"/>
        <v>0</v>
      </c>
      <c r="F19" s="73" t="str">
        <f t="shared" si="2"/>
        <v/>
      </c>
      <c r="G19" s="73" t="str">
        <f t="shared" si="3"/>
        <v/>
      </c>
      <c r="H19" s="67" t="str">
        <f t="shared" si="4"/>
        <v/>
      </c>
    </row>
    <row r="20" spans="1:14" x14ac:dyDescent="0.25">
      <c r="A20" s="87"/>
      <c r="B20" s="3" t="str">
        <f t="shared" si="5"/>
        <v/>
      </c>
      <c r="C20" s="54" t="str">
        <f t="shared" si="6"/>
        <v>[[https://youtu.be/_K-W8S6AVDE?t=116|01:56]] Sound Clap \\</v>
      </c>
      <c r="D20" s="61" t="e">
        <f t="shared" si="0"/>
        <v>#VALUE!</v>
      </c>
      <c r="E20" s="72">
        <f t="shared" si="1"/>
        <v>0</v>
      </c>
      <c r="F20" s="73" t="str">
        <f t="shared" si="2"/>
        <v/>
      </c>
      <c r="G20" s="73" t="str">
        <f t="shared" si="3"/>
        <v/>
      </c>
      <c r="H20" s="67" t="str">
        <f t="shared" si="4"/>
        <v/>
      </c>
    </row>
    <row r="21" spans="1:14" x14ac:dyDescent="0.25">
      <c r="A21" s="87"/>
      <c r="B21" s="3" t="str">
        <f t="shared" si="5"/>
        <v/>
      </c>
      <c r="C21" s="54" t="str">
        <f t="shared" si="6"/>
        <v>[[https://youtu.be/_K-W8S6AVDE?t=192|03:12]] Zoomies \\</v>
      </c>
      <c r="D21" s="61" t="e">
        <f t="shared" si="0"/>
        <v>#VALUE!</v>
      </c>
      <c r="E21" s="72">
        <f t="shared" si="1"/>
        <v>0</v>
      </c>
      <c r="F21" s="73" t="str">
        <f t="shared" si="2"/>
        <v/>
      </c>
      <c r="G21" s="73" t="str">
        <f t="shared" si="3"/>
        <v/>
      </c>
      <c r="H21" s="67" t="str">
        <f t="shared" si="4"/>
        <v/>
      </c>
    </row>
    <row r="22" spans="1:14" x14ac:dyDescent="0.25">
      <c r="A22" s="87"/>
      <c r="B22" s="3" t="str">
        <f t="shared" si="5"/>
        <v/>
      </c>
      <c r="C22" s="54" t="str">
        <f t="shared" si="6"/>
        <v/>
      </c>
      <c r="D22" s="61" t="e">
        <f t="shared" si="0"/>
        <v>#VALUE!</v>
      </c>
      <c r="E22" s="72">
        <f t="shared" si="1"/>
        <v>0</v>
      </c>
      <c r="F22" s="73" t="str">
        <f t="shared" si="2"/>
        <v/>
      </c>
      <c r="G22" s="73" t="str">
        <f t="shared" si="3"/>
        <v/>
      </c>
      <c r="H22" s="67" t="str">
        <f t="shared" si="4"/>
        <v/>
      </c>
    </row>
    <row r="23" spans="1:14" x14ac:dyDescent="0.25">
      <c r="A23" s="87"/>
      <c r="B23" s="3" t="str">
        <f t="shared" si="5"/>
        <v/>
      </c>
      <c r="C23" s="54" t="str">
        <f t="shared" si="6"/>
        <v/>
      </c>
      <c r="D23" s="61" t="e">
        <f t="shared" si="0"/>
        <v>#VALUE!</v>
      </c>
      <c r="E23" s="72">
        <f t="shared" si="1"/>
        <v>0</v>
      </c>
      <c r="F23" s="73" t="str">
        <f t="shared" si="2"/>
        <v/>
      </c>
      <c r="G23" s="73" t="str">
        <f t="shared" si="3"/>
        <v/>
      </c>
      <c r="H23" s="67" t="str">
        <f t="shared" si="4"/>
        <v/>
      </c>
    </row>
    <row r="24" spans="1:14" x14ac:dyDescent="0.25">
      <c r="A24" s="87"/>
      <c r="B24" s="3" t="str">
        <f t="shared" si="5"/>
        <v/>
      </c>
      <c r="C24" s="54" t="str">
        <f t="shared" si="6"/>
        <v/>
      </c>
      <c r="D24" s="61" t="e">
        <f t="shared" si="0"/>
        <v>#VALUE!</v>
      </c>
      <c r="E24" s="72">
        <f t="shared" si="1"/>
        <v>0</v>
      </c>
      <c r="F24" s="73" t="str">
        <f t="shared" si="2"/>
        <v/>
      </c>
      <c r="G24" s="73" t="str">
        <f t="shared" si="3"/>
        <v/>
      </c>
      <c r="H24" s="67" t="str">
        <f t="shared" si="4"/>
        <v/>
      </c>
    </row>
    <row r="25" spans="1:14" x14ac:dyDescent="0.25">
      <c r="A25" s="87"/>
      <c r="B25" s="3" t="str">
        <f t="shared" si="5"/>
        <v/>
      </c>
      <c r="C25" s="54" t="str">
        <f t="shared" si="6"/>
        <v/>
      </c>
      <c r="D25" s="61" t="e">
        <f t="shared" si="0"/>
        <v>#VALUE!</v>
      </c>
      <c r="E25" s="72">
        <f t="shared" si="1"/>
        <v>0</v>
      </c>
      <c r="F25" s="73" t="str">
        <f t="shared" si="2"/>
        <v/>
      </c>
      <c r="G25" s="73" t="str">
        <f t="shared" si="3"/>
        <v/>
      </c>
      <c r="H25" s="67" t="str">
        <f t="shared" si="4"/>
        <v/>
      </c>
    </row>
    <row r="26" spans="1:14" x14ac:dyDescent="0.25">
      <c r="A26" s="87"/>
      <c r="B26" s="3" t="str">
        <f t="shared" si="5"/>
        <v/>
      </c>
      <c r="C26" s="54" t="str">
        <f t="shared" si="6"/>
        <v/>
      </c>
      <c r="D26" s="61" t="e">
        <f t="shared" si="0"/>
        <v>#VALUE!</v>
      </c>
      <c r="E26" s="72">
        <f t="shared" si="1"/>
        <v>0</v>
      </c>
      <c r="F26" s="73" t="str">
        <f t="shared" si="2"/>
        <v/>
      </c>
      <c r="G26" s="73" t="str">
        <f t="shared" si="3"/>
        <v/>
      </c>
      <c r="H26" s="67" t="str">
        <f t="shared" si="4"/>
        <v/>
      </c>
    </row>
    <row r="27" spans="1:14" x14ac:dyDescent="0.25">
      <c r="A27" s="87"/>
      <c r="B27" s="3" t="str">
        <f t="shared" si="5"/>
        <v/>
      </c>
      <c r="C27" s="54" t="str">
        <f t="shared" si="6"/>
        <v/>
      </c>
      <c r="D27" s="61" t="e">
        <f t="shared" si="0"/>
        <v>#VALUE!</v>
      </c>
      <c r="E27" s="72">
        <f t="shared" si="1"/>
        <v>0</v>
      </c>
      <c r="F27" s="73" t="str">
        <f t="shared" si="2"/>
        <v/>
      </c>
      <c r="G27" s="73" t="str">
        <f t="shared" si="3"/>
        <v/>
      </c>
      <c r="H27" s="67" t="str">
        <f t="shared" si="4"/>
        <v/>
      </c>
    </row>
    <row r="28" spans="1:14" x14ac:dyDescent="0.25">
      <c r="A28" s="87"/>
      <c r="B28" s="3" t="str">
        <f t="shared" si="5"/>
        <v/>
      </c>
      <c r="C28" s="54" t="str">
        <f t="shared" si="6"/>
        <v/>
      </c>
      <c r="D28" s="61" t="e">
        <f t="shared" si="0"/>
        <v>#VALUE!</v>
      </c>
      <c r="E28" s="72">
        <f t="shared" si="1"/>
        <v>0</v>
      </c>
      <c r="F28" s="73" t="str">
        <f t="shared" si="2"/>
        <v/>
      </c>
      <c r="G28" s="73" t="str">
        <f t="shared" si="3"/>
        <v/>
      </c>
      <c r="H28" s="67" t="str">
        <f t="shared" si="4"/>
        <v/>
      </c>
    </row>
    <row r="29" spans="1:14" ht="15.75" thickBot="1" x14ac:dyDescent="0.3">
      <c r="A29" s="88"/>
      <c r="B29" s="3" t="str">
        <f t="shared" si="5"/>
        <v/>
      </c>
      <c r="C29" s="54" t="str">
        <f t="shared" si="6"/>
        <v/>
      </c>
      <c r="D29" s="61" t="e">
        <f t="shared" si="0"/>
        <v>#VALUE!</v>
      </c>
      <c r="E29" s="72">
        <f t="shared" si="1"/>
        <v>0</v>
      </c>
      <c r="F29" s="73" t="str">
        <f t="shared" si="2"/>
        <v/>
      </c>
      <c r="G29" s="73" t="str">
        <f t="shared" si="3"/>
        <v/>
      </c>
      <c r="H29" s="67" t="str">
        <f t="shared" si="4"/>
        <v/>
      </c>
    </row>
    <row r="30" spans="1:14" ht="15.75" thickBot="1" x14ac:dyDescent="0.3">
      <c r="B30" s="3" t="str">
        <f t="shared" si="5"/>
        <v/>
      </c>
      <c r="C30" s="2" t="str">
        <f t="shared" si="6"/>
        <v/>
      </c>
      <c r="D30" s="74" t="e">
        <f t="shared" si="0"/>
        <v>#VALUE!</v>
      </c>
      <c r="E30" s="75">
        <f t="shared" si="1"/>
        <v>0</v>
      </c>
      <c r="F30" s="76" t="str">
        <f t="shared" si="2"/>
        <v/>
      </c>
      <c r="G30" s="76" t="str">
        <f t="shared" si="3"/>
        <v/>
      </c>
      <c r="H30" s="77" t="str">
        <f t="shared" si="4"/>
        <v/>
      </c>
    </row>
    <row r="31" spans="1:14" ht="15.75" thickBot="1" x14ac:dyDescent="0.3">
      <c r="B31" s="3" t="str">
        <f t="shared" si="5"/>
        <v/>
      </c>
      <c r="C31" s="2" t="str">
        <f t="shared" si="6"/>
        <v/>
      </c>
      <c r="D31" s="78" t="b">
        <f>IF(MID(TL_Line1,6,1)=" ",TRUE,FALSE)</f>
        <v>1</v>
      </c>
      <c r="E31" s="79" t="s">
        <v>57</v>
      </c>
      <c r="F31" s="80"/>
      <c r="G31" s="80"/>
      <c r="H31" s="81"/>
    </row>
    <row r="32" spans="1:14" x14ac:dyDescent="0.25">
      <c r="B32" s="3" t="str">
        <f>IF(ISBLANK(LongDescription),"",LongDescription)</f>
        <v>In this video Alan Lomax introduces utilizes his new recording studio (Which was purpose built to rival Abbey Road) .</v>
      </c>
      <c r="C32" s="2" t="str">
        <f t="shared" si="6"/>
        <v/>
      </c>
    </row>
    <row r="33" spans="2:3" ht="15.75" thickBot="1" x14ac:dyDescent="0.3">
      <c r="B33" s="5"/>
      <c r="C33" s="2" t="str">
        <f t="shared" si="6"/>
        <v/>
      </c>
    </row>
    <row r="34" spans="2:3" x14ac:dyDescent="0.25">
      <c r="C34" s="2" t="str">
        <f t="shared" si="6"/>
        <v/>
      </c>
    </row>
    <row r="35" spans="2:3" x14ac:dyDescent="0.25">
      <c r="C35" s="2" t="str">
        <f t="shared" si="6"/>
        <v/>
      </c>
    </row>
    <row r="36" spans="2:3" x14ac:dyDescent="0.25">
      <c r="C36" s="2" t="str">
        <f t="shared" si="6"/>
        <v/>
      </c>
    </row>
    <row r="37" spans="2:3" x14ac:dyDescent="0.25">
      <c r="C37" s="2" t="str">
        <f t="shared" si="6"/>
        <v/>
      </c>
    </row>
    <row r="38" spans="2:3" x14ac:dyDescent="0.25">
      <c r="C38" s="6" t="str">
        <f>EndWrap</f>
        <v>&lt;/WRAP&gt;</v>
      </c>
    </row>
    <row r="39" spans="2:3" x14ac:dyDescent="0.25">
      <c r="C39" s="6" t="str">
        <f>WRAPcolumnhalf</f>
        <v>&lt;WRAP column half&gt;</v>
      </c>
    </row>
    <row r="40" spans="2:3" ht="30" x14ac:dyDescent="0.25">
      <c r="C40" s="11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[[https://youtu.be/_K-W8S6AVDE|Random Bits and Bobs]] (5 mins) {{youtube&gt;_K-W8S6AVDE}}\\</v>
      </c>
    </row>
    <row r="41" spans="2:3" x14ac:dyDescent="0.25">
      <c r="C41" s="6" t="str">
        <f>EndWrap</f>
        <v>&lt;/WRAP&gt;</v>
      </c>
    </row>
    <row r="42" spans="2:3" x14ac:dyDescent="0.25">
      <c r="C42" s="6" t="str">
        <f>EndWrap</f>
        <v>&lt;/WRAP&gt;</v>
      </c>
    </row>
    <row r="43" spans="2:3" x14ac:dyDescent="0.25">
      <c r="C43" s="6" t="str">
        <f>EndWrap</f>
        <v>&lt;/WRAP&gt;</v>
      </c>
    </row>
    <row r="44" spans="2:3" ht="15.75" thickBot="1" x14ac:dyDescent="0.3">
      <c r="C44" s="12" t="s">
        <v>24</v>
      </c>
    </row>
  </sheetData>
  <sheetProtection algorithmName="SHA-512" hashValue="kmRhPLykUUGlvSA8KPOQMIscAFsEuJsLkO+aqNZB+TSUU/kvhwKbJeMwaheqCCzcQiCvTUdA2kgV1Pxx7qIwsQ==" saltValue="Smg8/S6A1akWuCwTPZMYDQ==" spinCount="100000" sheet="1" objects="1" scenarios="1"/>
  <mergeCells count="2">
    <mergeCell ref="D9:N9"/>
    <mergeCell ref="J11:N11"/>
  </mergeCells>
  <conditionalFormatting sqref="D31">
    <cfRule type="cellIs" dxfId="15" priority="1" operator="equal">
      <formula>FALSE</formula>
    </cfRule>
    <cfRule type="cellIs" dxfId="14" priority="2" operator="equal">
      <formula>TRUE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tabSelected="1" workbookViewId="0">
      <selection activeCell="E7" sqref="E7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2.5703125" bestFit="1" customWidth="1"/>
    <col min="10" max="10" width="34" customWidth="1"/>
  </cols>
  <sheetData>
    <row r="1" spans="1:14" ht="15.75" thickBot="1" x14ac:dyDescent="0.3">
      <c r="A1" s="52"/>
      <c r="B1" s="53" t="s">
        <v>17</v>
      </c>
      <c r="C1" s="93" t="s">
        <v>79</v>
      </c>
    </row>
    <row r="2" spans="1:14" ht="17.25" customHeight="1" thickBot="1" x14ac:dyDescent="0.3">
      <c r="A2" s="8" t="s">
        <v>5</v>
      </c>
      <c r="B2" s="82" t="s">
        <v>39</v>
      </c>
      <c r="C2" s="94" t="s">
        <v>147</v>
      </c>
    </row>
    <row r="3" spans="1:14" x14ac:dyDescent="0.25">
      <c r="A3" s="9" t="s">
        <v>25</v>
      </c>
      <c r="B3" s="83" t="s">
        <v>31</v>
      </c>
    </row>
    <row r="4" spans="1:14" x14ac:dyDescent="0.25">
      <c r="A4" s="9" t="s">
        <v>26</v>
      </c>
      <c r="B4" s="83" t="s">
        <v>30</v>
      </c>
      <c r="D4"/>
    </row>
    <row r="5" spans="1:14" x14ac:dyDescent="0.25">
      <c r="A5" s="9" t="s">
        <v>15</v>
      </c>
      <c r="B5" s="83" t="s">
        <v>29</v>
      </c>
      <c r="D5"/>
    </row>
    <row r="6" spans="1:14" ht="15.75" thickBot="1" x14ac:dyDescent="0.3">
      <c r="A6" s="10" t="s">
        <v>56</v>
      </c>
      <c r="B6" s="84">
        <v>99</v>
      </c>
      <c r="C6" s="93" t="s">
        <v>145</v>
      </c>
      <c r="D6"/>
    </row>
    <row r="7" spans="1:14" ht="15.75" thickBot="1" x14ac:dyDescent="0.3">
      <c r="A7" s="9" t="s">
        <v>27</v>
      </c>
      <c r="B7" s="83" t="s">
        <v>6</v>
      </c>
      <c r="C7" s="97" t="str">
        <f ca="1">RIGHT(CELL("filename"),LEN(CELL("filename"))-FIND("]",CELL("filename")))</f>
        <v>MERG YouTube WiKi Text Maker</v>
      </c>
    </row>
    <row r="8" spans="1:14" ht="48" customHeight="1" thickBot="1" x14ac:dyDescent="0.3">
      <c r="A8" s="9" t="s">
        <v>28</v>
      </c>
      <c r="B8" s="85" t="s">
        <v>62</v>
      </c>
    </row>
    <row r="9" spans="1:14" ht="19.5" thickBot="1" x14ac:dyDescent="0.35">
      <c r="A9" s="49" t="s">
        <v>20</v>
      </c>
      <c r="B9" s="51" t="s">
        <v>9</v>
      </c>
      <c r="C9" s="50" t="s">
        <v>8</v>
      </c>
      <c r="D9" s="110" t="s">
        <v>21</v>
      </c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86" t="str">
        <f>IF(('EDL Processor'!C2+'EDL Processor'!D2+'EDL Processor'!E2) = 0,"", TEXT('EDL Processor'!C2,"00") &amp; ":"  &amp; TEXT('EDL Processor'!D2,"00") &amp;  ":"  &amp; TEXT('EDL Processor'!E2,"00") &amp; " " &amp;  'EDL Processor'!B2)</f>
        <v>00:00:12 Start</v>
      </c>
      <c r="B10" s="3" t="str">
        <f>OneLineDescription</f>
        <v>One Line Description</v>
      </c>
      <c r="C10" s="55" t="str">
        <f>WRAPbox</f>
        <v>&lt;WRAP box&gt;</v>
      </c>
      <c r="D10" s="89" t="s">
        <v>4</v>
      </c>
      <c r="E10" s="90" t="s">
        <v>0</v>
      </c>
      <c r="F10" s="90" t="s">
        <v>1</v>
      </c>
      <c r="G10" s="90" t="s">
        <v>2</v>
      </c>
      <c r="H10" s="91" t="s">
        <v>3</v>
      </c>
    </row>
    <row r="11" spans="1:14" ht="45" x14ac:dyDescent="0.25">
      <c r="A11" s="87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4" t="str">
        <f xml:space="preserve"> YT_Show_More</f>
        <v>Press 'Show More' to review the timeline and jump to a specific chapter.
Timeline:</v>
      </c>
      <c r="C11" s="56" t="str">
        <f xml:space="preserve"> "=====" &amp; BoxTitle &amp; "====="</f>
        <v>====={Box Title Goes Here}=====</v>
      </c>
      <c r="D11" s="68">
        <f t="shared" ref="D11:D30" si="0">(3600*E11)+(60*F11)+G11</f>
        <v>12</v>
      </c>
      <c r="E11" s="69" t="str">
        <f t="shared" ref="E11:E30" si="1">IF(LT1Hr=TRUE,0,MID($A10,1,2))</f>
        <v>00</v>
      </c>
      <c r="F11" s="70" t="str">
        <f t="shared" ref="F11:F30" si="2">IF(LT1Hr=TRUE,MID($A10,1,2),MID($A10,4,2))</f>
        <v>00</v>
      </c>
      <c r="G11" s="70" t="str">
        <f t="shared" ref="G11:G30" si="3">IF(LT1Hr=TRUE,MID($A10,4,2),MID($A10,7,2))</f>
        <v>12</v>
      </c>
      <c r="H11" s="71" t="str">
        <f t="shared" ref="H11:H30" si="4">IF(LT1Hr=TRUE,MID($A10,7,99),MID($A10,10,99))</f>
        <v>Start</v>
      </c>
      <c r="I11" s="58" t="s">
        <v>7</v>
      </c>
      <c r="J11" s="113" t="s">
        <v>11</v>
      </c>
      <c r="K11" s="114"/>
      <c r="L11" s="114"/>
      <c r="M11" s="114"/>
      <c r="N11" s="115"/>
    </row>
    <row r="12" spans="1:14" x14ac:dyDescent="0.25">
      <c r="A12" s="87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3" t="str">
        <f>IF(A10="Paste timeline here ONLY","",IF(ISBLANK(A10),"",A10))</f>
        <v>00:00:12 Start</v>
      </c>
      <c r="C12" s="56" t="str">
        <f xml:space="preserve"> "====" &amp; txtDateTime &amp; "===="</f>
        <v>===={Date of Zoom Call or When Published}====</v>
      </c>
      <c r="D12" s="61">
        <f t="shared" ref="D12:D29" si="5">(3600*E12)+(60*F12)+G12</f>
        <v>134</v>
      </c>
      <c r="E12" s="72" t="str">
        <f t="shared" si="1"/>
        <v>00</v>
      </c>
      <c r="F12" s="73" t="str">
        <f t="shared" si="2"/>
        <v>02</v>
      </c>
      <c r="G12" s="73" t="str">
        <f t="shared" si="3"/>
        <v>14</v>
      </c>
      <c r="H12" s="67" t="str">
        <f t="shared" si="4"/>
        <v>Topics</v>
      </c>
      <c r="I12" s="58" t="s">
        <v>10</v>
      </c>
      <c r="J12" s="61" t="s">
        <v>12</v>
      </c>
      <c r="K12" s="59"/>
      <c r="L12" s="59"/>
      <c r="M12" s="59"/>
      <c r="N12" s="60"/>
    </row>
    <row r="13" spans="1:14" x14ac:dyDescent="0.25">
      <c r="A13" s="87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3" t="str">
        <f>IF(ISBLANK(A11),"",A11)</f>
        <v>00:02:14 Topics</v>
      </c>
      <c r="C13" s="56" t="str">
        <f xml:space="preserve"> "===" &amp; VideoTitle &amp; "==="</f>
        <v>==={Video Title}===</v>
      </c>
      <c r="D13" s="61">
        <f t="shared" si="5"/>
        <v>194</v>
      </c>
      <c r="E13" s="72" t="str">
        <f t="shared" si="1"/>
        <v>00</v>
      </c>
      <c r="F13" s="73" t="str">
        <f t="shared" si="2"/>
        <v>03</v>
      </c>
      <c r="G13" s="73" t="str">
        <f t="shared" si="3"/>
        <v>14</v>
      </c>
      <c r="H13" s="67" t="str">
        <f t="shared" si="4"/>
        <v>What is RFID?</v>
      </c>
      <c r="I13" s="58" t="s">
        <v>10</v>
      </c>
      <c r="J13" s="61" t="s">
        <v>13</v>
      </c>
      <c r="K13" s="62"/>
      <c r="L13" s="62"/>
      <c r="M13" s="62"/>
      <c r="N13" s="63"/>
    </row>
    <row r="14" spans="1:14" x14ac:dyDescent="0.25">
      <c r="A14" s="87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3" t="str">
        <f t="shared" ref="B14:B31" si="6">IF(ISBLANK(A12),"",A12)</f>
        <v>00:03:14 What is RFID?</v>
      </c>
      <c r="C14" s="56" t="str">
        <f>WRAPcolumn</f>
        <v>&lt;WRAP column&gt;</v>
      </c>
      <c r="D14" s="61">
        <f t="shared" si="5"/>
        <v>513</v>
      </c>
      <c r="E14" s="72" t="str">
        <f t="shared" si="1"/>
        <v>00</v>
      </c>
      <c r="F14" s="73" t="str">
        <f t="shared" si="2"/>
        <v>08</v>
      </c>
      <c r="G14" s="73" t="str">
        <f t="shared" si="3"/>
        <v>33</v>
      </c>
      <c r="H14" s="67" t="str">
        <f t="shared" si="4"/>
        <v>RFID Vocabulary</v>
      </c>
      <c r="I14" s="58" t="s">
        <v>10</v>
      </c>
      <c r="J14" s="61" t="s">
        <v>14</v>
      </c>
      <c r="K14" s="62"/>
      <c r="L14" s="62"/>
      <c r="M14" s="62"/>
      <c r="N14" s="63"/>
    </row>
    <row r="15" spans="1:14" x14ac:dyDescent="0.25">
      <c r="A15" s="87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3" t="str">
        <f t="shared" si="6"/>
        <v>00:08:33 RFID Vocabulary</v>
      </c>
      <c r="C15" s="56" t="str">
        <f>WRAPcolumnhalf</f>
        <v>&lt;WRAP column half&gt;</v>
      </c>
      <c r="D15" s="61">
        <f t="shared" si="5"/>
        <v>1233</v>
      </c>
      <c r="E15" s="72" t="str">
        <f t="shared" si="1"/>
        <v>00</v>
      </c>
      <c r="F15" s="73" t="str">
        <f t="shared" si="2"/>
        <v>20</v>
      </c>
      <c r="G15" s="73" t="str">
        <f t="shared" si="3"/>
        <v>33</v>
      </c>
      <c r="H15" s="67" t="str">
        <f t="shared" si="4"/>
        <v>Vocabulary Summary  in Pictures</v>
      </c>
      <c r="I15" s="58" t="s">
        <v>10</v>
      </c>
      <c r="J15" s="64" t="s">
        <v>16</v>
      </c>
      <c r="K15" s="62"/>
      <c r="L15" s="62"/>
      <c r="M15" s="62"/>
      <c r="N15" s="63"/>
    </row>
    <row r="16" spans="1:14" x14ac:dyDescent="0.25">
      <c r="A16" s="87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3" t="str">
        <f t="shared" si="6"/>
        <v>00:20:33 Vocabulary Summary  in Pictures</v>
      </c>
      <c r="C16" s="57" t="str">
        <f>LongDescription</f>
        <v>Long Description here. Use \\ as EOL marker to force a new line on Wiki.</v>
      </c>
      <c r="D16" s="61">
        <f t="shared" si="5"/>
        <v>1328</v>
      </c>
      <c r="E16" s="72" t="str">
        <f t="shared" si="1"/>
        <v>00</v>
      </c>
      <c r="F16" s="73" t="str">
        <f t="shared" si="2"/>
        <v>22</v>
      </c>
      <c r="G16" s="73" t="str">
        <f t="shared" si="3"/>
        <v>08</v>
      </c>
      <c r="H16" s="67" t="str">
        <f t="shared" si="4"/>
        <v>RFID Standards</v>
      </c>
      <c r="I16" s="58" t="s">
        <v>10</v>
      </c>
      <c r="J16" s="65" t="s">
        <v>23</v>
      </c>
      <c r="K16" s="66"/>
      <c r="L16" s="66"/>
      <c r="M16" s="66"/>
      <c r="N16" s="67"/>
    </row>
    <row r="17" spans="1:14" x14ac:dyDescent="0.25">
      <c r="A17" s="87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3" t="str">
        <f t="shared" si="6"/>
        <v>00:22:08 RFID Standards</v>
      </c>
      <c r="C17" s="57" t="str">
        <f>EOL</f>
        <v>\\</v>
      </c>
      <c r="D17" s="61">
        <f t="shared" si="5"/>
        <v>1497</v>
      </c>
      <c r="E17" s="72" t="str">
        <f t="shared" si="1"/>
        <v>00</v>
      </c>
      <c r="F17" s="73" t="str">
        <f t="shared" si="2"/>
        <v>24</v>
      </c>
      <c r="G17" s="73" t="str">
        <f t="shared" si="3"/>
        <v>57</v>
      </c>
      <c r="H17" s="67" t="str">
        <f t="shared" si="4"/>
        <v>Choice of Frequency</v>
      </c>
      <c r="I17" s="58"/>
      <c r="J17" s="65"/>
      <c r="K17" s="66"/>
      <c r="L17" s="66"/>
      <c r="M17" s="66"/>
      <c r="N17" s="67"/>
    </row>
    <row r="18" spans="1:14" x14ac:dyDescent="0.25">
      <c r="A18" s="87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3" t="str">
        <f t="shared" si="6"/>
        <v>00:24:57 Choice of Frequency</v>
      </c>
      <c r="C18" s="54" t="str">
        <f>IF($A10 = "Paste timeline here ONLY","","[["&amp;YT_URL&amp;"?t="&amp;$D11&amp;"|"&amp; IF(LT1Hr = FALSE,MID($A10,1,8), MID($A10,1,5))&amp;"]] " &amp;$H11&amp;"\\")</f>
        <v>[[YouTube_URL Goes Here?t=12|00:00:12]] Start\\</v>
      </c>
      <c r="D18" s="61">
        <f t="shared" si="5"/>
        <v>1582</v>
      </c>
      <c r="E18" s="72" t="str">
        <f t="shared" si="1"/>
        <v>00</v>
      </c>
      <c r="F18" s="73" t="str">
        <f t="shared" si="2"/>
        <v>26</v>
      </c>
      <c r="G18" s="73" t="str">
        <f t="shared" si="3"/>
        <v>22</v>
      </c>
      <c r="H18" s="67" t="str">
        <f t="shared" si="4"/>
        <v>Q&amp;A Intermission</v>
      </c>
    </row>
    <row r="19" spans="1:14" x14ac:dyDescent="0.25">
      <c r="A19" s="87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3" t="str">
        <f t="shared" si="6"/>
        <v>00:26:22 Q&amp;A Intermission</v>
      </c>
      <c r="C19" s="54" t="str">
        <f t="shared" ref="C19:C37" si="7">IF(ISBLANK($A11),"","[["&amp;YT_URL&amp;"?t="&amp;$D12&amp;"|"&amp; IF(LT1Hr = FALSE,MID($A11,1,8), MID($A11,1,5))&amp;"]] " &amp;$H12&amp;"\\")</f>
        <v>[[YouTube_URL Goes Here?t=134|00:02:14]] Topics\\</v>
      </c>
      <c r="D19" s="61">
        <f t="shared" si="5"/>
        <v>2337</v>
      </c>
      <c r="E19" s="72" t="str">
        <f t="shared" si="1"/>
        <v>00</v>
      </c>
      <c r="F19" s="73" t="str">
        <f t="shared" si="2"/>
        <v>38</v>
      </c>
      <c r="G19" s="73" t="str">
        <f t="shared" si="3"/>
        <v>57</v>
      </c>
      <c r="H19" s="67" t="str">
        <f t="shared" si="4"/>
        <v>Example: RF Field Strength Tester</v>
      </c>
    </row>
    <row r="20" spans="1:14" x14ac:dyDescent="0.25">
      <c r="A20" s="87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3" t="str">
        <f t="shared" si="6"/>
        <v>00:38:57 Example: RF Field Strength Tester</v>
      </c>
      <c r="C20" s="54" t="str">
        <f t="shared" si="7"/>
        <v>[[YouTube_URL Goes Here?t=194|00:03:14]] What is RFID?\\</v>
      </c>
      <c r="D20" s="61">
        <f t="shared" si="5"/>
        <v>2919</v>
      </c>
      <c r="E20" s="72" t="str">
        <f t="shared" si="1"/>
        <v>00</v>
      </c>
      <c r="F20" s="73" t="str">
        <f t="shared" si="2"/>
        <v>48</v>
      </c>
      <c r="G20" s="73" t="str">
        <f t="shared" si="3"/>
        <v>39</v>
      </c>
      <c r="H20" s="67" t="str">
        <f t="shared" si="4"/>
        <v>Part 2 - RFID Usage Cases</v>
      </c>
    </row>
    <row r="21" spans="1:14" x14ac:dyDescent="0.25">
      <c r="A21" s="87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3" t="str">
        <f t="shared" si="6"/>
        <v>00:48:39 Part 2 - RFID Usage Cases</v>
      </c>
      <c r="C21" s="54" t="str">
        <f t="shared" si="7"/>
        <v>[[YouTube_URL Goes Here?t=513|00:08:33]] RFID Vocabulary\\</v>
      </c>
      <c r="D21" s="61">
        <f t="shared" si="5"/>
        <v>3369</v>
      </c>
      <c r="E21" s="72" t="str">
        <f t="shared" si="1"/>
        <v>00</v>
      </c>
      <c r="F21" s="73" t="str">
        <f t="shared" si="2"/>
        <v>56</v>
      </c>
      <c r="G21" s="73" t="str">
        <f t="shared" si="3"/>
        <v>09</v>
      </c>
      <c r="H21" s="67" t="str">
        <f t="shared" si="4"/>
        <v>Multiple Data Consumers</v>
      </c>
    </row>
    <row r="22" spans="1:14" x14ac:dyDescent="0.25">
      <c r="A22" s="87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3" t="str">
        <f t="shared" si="6"/>
        <v>00:56:09 Multiple Data Consumers</v>
      </c>
      <c r="C22" s="54" t="str">
        <f t="shared" si="7"/>
        <v>[[YouTube_URL Goes Here?t=1233|00:20:33]] Vocabulary Summary  in Pictures\\</v>
      </c>
      <c r="D22" s="61">
        <f t="shared" si="5"/>
        <v>3918</v>
      </c>
      <c r="E22" s="72" t="str">
        <f t="shared" si="1"/>
        <v>01</v>
      </c>
      <c r="F22" s="73" t="str">
        <f t="shared" si="2"/>
        <v>05</v>
      </c>
      <c r="G22" s="73" t="str">
        <f t="shared" si="3"/>
        <v>18</v>
      </c>
      <c r="H22" s="67" t="str">
        <f t="shared" si="4"/>
        <v>Summary and Wrap Up</v>
      </c>
    </row>
    <row r="23" spans="1:14" x14ac:dyDescent="0.25">
      <c r="A23" s="87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3" t="str">
        <f t="shared" si="6"/>
        <v>01:05:18 Summary and Wrap Up</v>
      </c>
      <c r="C23" s="54" t="str">
        <f t="shared" si="7"/>
        <v>[[YouTube_URL Goes Here?t=1328|00:22:08]] RFID Standards\\</v>
      </c>
      <c r="D23" s="61" t="e">
        <f t="shared" si="5"/>
        <v>#VALUE!</v>
      </c>
      <c r="E23" s="72" t="str">
        <f t="shared" si="1"/>
        <v/>
      </c>
      <c r="F23" s="73" t="str">
        <f t="shared" si="2"/>
        <v/>
      </c>
      <c r="G23" s="73" t="str">
        <f t="shared" si="3"/>
        <v/>
      </c>
      <c r="H23" s="67" t="str">
        <f t="shared" si="4"/>
        <v/>
      </c>
    </row>
    <row r="24" spans="1:14" x14ac:dyDescent="0.25">
      <c r="A24" s="87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3" t="str">
        <f t="shared" si="6"/>
        <v/>
      </c>
      <c r="C24" s="54" t="str">
        <f t="shared" si="7"/>
        <v>[[YouTube_URL Goes Here?t=1497|00:24:57]] Choice of Frequency\\</v>
      </c>
      <c r="D24" s="61" t="e">
        <f t="shared" si="5"/>
        <v>#VALUE!</v>
      </c>
      <c r="E24" s="72" t="str">
        <f t="shared" si="1"/>
        <v/>
      </c>
      <c r="F24" s="73" t="str">
        <f t="shared" si="2"/>
        <v/>
      </c>
      <c r="G24" s="73" t="str">
        <f t="shared" si="3"/>
        <v/>
      </c>
      <c r="H24" s="67" t="str">
        <f t="shared" si="4"/>
        <v/>
      </c>
    </row>
    <row r="25" spans="1:14" x14ac:dyDescent="0.25">
      <c r="A25" s="87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3" t="str">
        <f t="shared" si="6"/>
        <v/>
      </c>
      <c r="C25" s="54" t="str">
        <f t="shared" si="7"/>
        <v>[[YouTube_URL Goes Here?t=1582|00:26:22]] Q&amp;A Intermission\\</v>
      </c>
      <c r="D25" s="61" t="e">
        <f t="shared" si="5"/>
        <v>#VALUE!</v>
      </c>
      <c r="E25" s="72" t="str">
        <f t="shared" si="1"/>
        <v/>
      </c>
      <c r="F25" s="73" t="str">
        <f t="shared" si="2"/>
        <v/>
      </c>
      <c r="G25" s="73" t="str">
        <f t="shared" si="3"/>
        <v/>
      </c>
      <c r="H25" s="67" t="str">
        <f t="shared" si="4"/>
        <v/>
      </c>
    </row>
    <row r="26" spans="1:14" x14ac:dyDescent="0.25">
      <c r="A26" s="87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3" t="str">
        <f t="shared" si="6"/>
        <v/>
      </c>
      <c r="C26" s="54" t="str">
        <f t="shared" si="7"/>
        <v>[[YouTube_URL Goes Here?t=2337|00:38:57]] Example: RF Field Strength Tester\\</v>
      </c>
      <c r="D26" s="61" t="e">
        <f t="shared" si="5"/>
        <v>#VALUE!</v>
      </c>
      <c r="E26" s="72" t="str">
        <f t="shared" si="1"/>
        <v/>
      </c>
      <c r="F26" s="73" t="str">
        <f t="shared" si="2"/>
        <v/>
      </c>
      <c r="G26" s="73" t="str">
        <f t="shared" si="3"/>
        <v/>
      </c>
      <c r="H26" s="67" t="str">
        <f t="shared" si="4"/>
        <v/>
      </c>
    </row>
    <row r="27" spans="1:14" x14ac:dyDescent="0.25">
      <c r="A27" s="87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3" t="str">
        <f t="shared" si="6"/>
        <v/>
      </c>
      <c r="C27" s="54" t="str">
        <f t="shared" si="7"/>
        <v>[[YouTube_URL Goes Here?t=2919|00:48:39]] Part 2 - RFID Usage Cases\\</v>
      </c>
      <c r="D27" s="61" t="e">
        <f t="shared" si="5"/>
        <v>#VALUE!</v>
      </c>
      <c r="E27" s="72" t="str">
        <f t="shared" si="1"/>
        <v/>
      </c>
      <c r="F27" s="73" t="str">
        <f t="shared" si="2"/>
        <v/>
      </c>
      <c r="G27" s="73" t="str">
        <f t="shared" si="3"/>
        <v/>
      </c>
      <c r="H27" s="67" t="str">
        <f t="shared" si="4"/>
        <v/>
      </c>
    </row>
    <row r="28" spans="1:14" x14ac:dyDescent="0.25">
      <c r="A28" s="87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3" t="str">
        <f t="shared" si="6"/>
        <v/>
      </c>
      <c r="C28" s="54" t="str">
        <f t="shared" si="7"/>
        <v>[[YouTube_URL Goes Here?t=3369|00:56:09]] Multiple Data Consumers\\</v>
      </c>
      <c r="D28" s="61" t="e">
        <f t="shared" si="5"/>
        <v>#VALUE!</v>
      </c>
      <c r="E28" s="72" t="str">
        <f t="shared" si="1"/>
        <v/>
      </c>
      <c r="F28" s="73" t="str">
        <f t="shared" si="2"/>
        <v/>
      </c>
      <c r="G28" s="73" t="str">
        <f t="shared" si="3"/>
        <v/>
      </c>
      <c r="H28" s="67" t="str">
        <f t="shared" si="4"/>
        <v/>
      </c>
    </row>
    <row r="29" spans="1:14" ht="15.75" thickBot="1" x14ac:dyDescent="0.3">
      <c r="A29" s="88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3" t="str">
        <f t="shared" si="6"/>
        <v/>
      </c>
      <c r="C29" s="54" t="str">
        <f t="shared" si="7"/>
        <v>[[YouTube_URL Goes Here?t=3918|01:05:18]] Summary and Wrap Up\\</v>
      </c>
      <c r="D29" s="61" t="e">
        <f t="shared" si="5"/>
        <v>#VALUE!</v>
      </c>
      <c r="E29" s="72" t="str">
        <f t="shared" si="1"/>
        <v/>
      </c>
      <c r="F29" s="73" t="str">
        <f t="shared" si="2"/>
        <v/>
      </c>
      <c r="G29" s="73" t="str">
        <f t="shared" si="3"/>
        <v/>
      </c>
      <c r="H29" s="67" t="str">
        <f t="shared" si="4"/>
        <v/>
      </c>
    </row>
    <row r="30" spans="1:14" ht="15.75" thickBot="1" x14ac:dyDescent="0.3">
      <c r="B30" s="3" t="str">
        <f t="shared" si="6"/>
        <v/>
      </c>
      <c r="C30" s="2" t="e">
        <f t="shared" si="7"/>
        <v>#VALUE!</v>
      </c>
      <c r="D30" s="74" t="e">
        <f t="shared" si="0"/>
        <v>#VALUE!</v>
      </c>
      <c r="E30" s="75" t="str">
        <f t="shared" si="1"/>
        <v/>
      </c>
      <c r="F30" s="76" t="str">
        <f t="shared" si="2"/>
        <v/>
      </c>
      <c r="G30" s="76" t="str">
        <f t="shared" si="3"/>
        <v/>
      </c>
      <c r="H30" s="77" t="str">
        <f t="shared" si="4"/>
        <v/>
      </c>
    </row>
    <row r="31" spans="1:14" ht="15.75" thickBot="1" x14ac:dyDescent="0.3">
      <c r="B31" s="3" t="str">
        <f t="shared" si="6"/>
        <v/>
      </c>
      <c r="C31" s="2" t="e">
        <f t="shared" si="7"/>
        <v>#VALUE!</v>
      </c>
      <c r="D31" s="78" t="b">
        <f>IF(MID(TL_Line1,6,1)=" ",TRUE,FALSE)</f>
        <v>0</v>
      </c>
      <c r="E31" s="79" t="s">
        <v>57</v>
      </c>
      <c r="F31" s="80"/>
      <c r="G31" s="80"/>
      <c r="H31" s="81"/>
    </row>
    <row r="32" spans="1:14" x14ac:dyDescent="0.25">
      <c r="B32" s="3" t="str">
        <f>IF(ISBLANK(LongDescription),"",LongDescription)</f>
        <v>Long Description here. Use \\ as EOL marker to force a new line on Wiki.</v>
      </c>
      <c r="C32" s="2" t="e">
        <f t="shared" si="7"/>
        <v>#VALUE!</v>
      </c>
    </row>
    <row r="33" spans="2:3" ht="15.75" thickBot="1" x14ac:dyDescent="0.3">
      <c r="B33" s="5"/>
      <c r="C33" s="2" t="e">
        <f t="shared" si="7"/>
        <v>#VALUE!</v>
      </c>
    </row>
    <row r="34" spans="2:3" x14ac:dyDescent="0.25">
      <c r="C34" s="2" t="e">
        <f t="shared" si="7"/>
        <v>#VALUE!</v>
      </c>
    </row>
    <row r="35" spans="2:3" x14ac:dyDescent="0.25">
      <c r="C35" s="2" t="e">
        <f t="shared" si="7"/>
        <v>#VALUE!</v>
      </c>
    </row>
    <row r="36" spans="2:3" x14ac:dyDescent="0.25">
      <c r="C36" s="2" t="e">
        <f t="shared" si="7"/>
        <v>#VALUE!</v>
      </c>
    </row>
    <row r="37" spans="2:3" x14ac:dyDescent="0.25">
      <c r="C37" s="2" t="e">
        <f t="shared" si="7"/>
        <v>#VALUE!</v>
      </c>
    </row>
    <row r="38" spans="2:3" x14ac:dyDescent="0.25">
      <c r="C38" s="6" t="str">
        <f>EndWrap</f>
        <v>&lt;/WRAP&gt;</v>
      </c>
    </row>
    <row r="39" spans="2:3" x14ac:dyDescent="0.25">
      <c r="C39" s="6" t="str">
        <f>WRAPcolumnhalf</f>
        <v>&lt;WRAP column half&gt;</v>
      </c>
    </row>
    <row r="40" spans="2:3" ht="30" x14ac:dyDescent="0.25">
      <c r="C40" s="11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6" t="str">
        <f>EndWrap</f>
        <v>&lt;/WRAP&gt;</v>
      </c>
    </row>
    <row r="42" spans="2:3" x14ac:dyDescent="0.25">
      <c r="C42" s="6" t="str">
        <f>EndWrap</f>
        <v>&lt;/WRAP&gt;</v>
      </c>
    </row>
    <row r="43" spans="2:3" x14ac:dyDescent="0.25">
      <c r="C43" s="6" t="str">
        <f>EndWrap</f>
        <v>&lt;/WRAP&gt;</v>
      </c>
    </row>
    <row r="44" spans="2:3" ht="15.75" thickBot="1" x14ac:dyDescent="0.3">
      <c r="C44" s="12" t="s">
        <v>24</v>
      </c>
    </row>
  </sheetData>
  <mergeCells count="2">
    <mergeCell ref="J11:N11"/>
    <mergeCell ref="D9:N9"/>
  </mergeCells>
  <conditionalFormatting sqref="D31">
    <cfRule type="cellIs" dxfId="13" priority="1" operator="equal">
      <formula>FALSE</formula>
    </cfRule>
    <cfRule type="cellIs" dxfId="12" priority="2" operator="equal">
      <formula>TRUE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1409700</xdr:colOff>
                <xdr:row>2</xdr:row>
                <xdr:rowOff>123825</xdr:rowOff>
              </from>
              <to>
                <xdr:col>2</xdr:col>
                <xdr:colOff>2771775</xdr:colOff>
                <xdr:row>4</xdr:row>
                <xdr:rowOff>85725</xdr:rowOff>
              </to>
            </anchor>
          </controlPr>
        </control>
      </mc:Choice>
      <mc:Fallback>
        <control shapeId="1031" r:id="rId4" name="btn_Select_EDL_Fi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/>
  </sheetViews>
  <sheetFormatPr defaultRowHeight="15" x14ac:dyDescent="0.25"/>
  <cols>
    <col min="1" max="1" width="10.5703125" style="92" bestFit="1" customWidth="1"/>
    <col min="2" max="2" width="31.28515625" style="92" bestFit="1" customWidth="1"/>
    <col min="3" max="3" width="9.85546875" style="92" bestFit="1" customWidth="1"/>
    <col min="4" max="4" width="11.42578125" style="92" bestFit="1" customWidth="1"/>
    <col min="5" max="5" width="10.85546875" style="92" bestFit="1" customWidth="1"/>
    <col min="6" max="6" width="12.5703125" style="92" bestFit="1" customWidth="1"/>
    <col min="7" max="7" width="9" style="92" bestFit="1" customWidth="1"/>
    <col min="8" max="8" width="10.5703125" style="92" bestFit="1" customWidth="1"/>
    <col min="9" max="9" width="10" style="92" bestFit="1" customWidth="1"/>
    <col min="10" max="10" width="11.7109375" style="92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92" t="s">
        <v>69</v>
      </c>
      <c r="B1" s="92" t="s">
        <v>70</v>
      </c>
      <c r="C1" s="92" t="s">
        <v>71</v>
      </c>
      <c r="D1" s="92" t="s">
        <v>72</v>
      </c>
      <c r="E1" s="92" t="s">
        <v>73</v>
      </c>
      <c r="F1" s="92" t="s">
        <v>74</v>
      </c>
      <c r="G1" s="92" t="s">
        <v>75</v>
      </c>
      <c r="H1" s="92" t="s">
        <v>76</v>
      </c>
      <c r="I1" s="92" t="s">
        <v>77</v>
      </c>
      <c r="J1" s="92" t="s">
        <v>78</v>
      </c>
      <c r="L1" s="93" t="s">
        <v>79</v>
      </c>
    </row>
    <row r="2" spans="1:12" ht="15.75" thickBot="1" x14ac:dyDescent="0.3">
      <c r="A2" s="92" t="s">
        <v>80</v>
      </c>
      <c r="B2" s="92" t="s">
        <v>81</v>
      </c>
      <c r="C2" s="92">
        <v>0</v>
      </c>
      <c r="D2" s="92">
        <v>0</v>
      </c>
      <c r="E2" s="92">
        <v>12</v>
      </c>
      <c r="F2" s="92">
        <v>6</v>
      </c>
      <c r="G2" s="92">
        <v>0</v>
      </c>
      <c r="H2" s="92">
        <v>0</v>
      </c>
      <c r="I2" s="92">
        <v>12</v>
      </c>
      <c r="J2" s="92">
        <v>7</v>
      </c>
      <c r="L2" s="94" t="s">
        <v>147</v>
      </c>
    </row>
    <row r="3" spans="1:12" x14ac:dyDescent="0.25">
      <c r="A3" s="92" t="s">
        <v>82</v>
      </c>
      <c r="B3" s="92" t="s">
        <v>83</v>
      </c>
      <c r="C3" s="92">
        <v>0</v>
      </c>
      <c r="D3" s="92">
        <v>2</v>
      </c>
      <c r="E3" s="92">
        <v>14</v>
      </c>
      <c r="F3" s="92">
        <v>19</v>
      </c>
      <c r="G3" s="92">
        <v>0</v>
      </c>
      <c r="H3" s="92">
        <v>2</v>
      </c>
      <c r="I3" s="92">
        <v>14</v>
      </c>
      <c r="J3" s="92">
        <v>20</v>
      </c>
    </row>
    <row r="4" spans="1:12" x14ac:dyDescent="0.25">
      <c r="A4" s="92" t="s">
        <v>84</v>
      </c>
      <c r="B4" s="92" t="s">
        <v>85</v>
      </c>
      <c r="C4" s="92">
        <v>0</v>
      </c>
      <c r="D4" s="92">
        <v>3</v>
      </c>
      <c r="E4" s="92">
        <v>14</v>
      </c>
      <c r="F4" s="92">
        <v>16</v>
      </c>
      <c r="G4" s="92">
        <v>0</v>
      </c>
      <c r="H4" s="92">
        <v>3</v>
      </c>
      <c r="I4" s="92">
        <v>14</v>
      </c>
      <c r="J4" s="92">
        <v>17</v>
      </c>
    </row>
    <row r="5" spans="1:12" x14ac:dyDescent="0.25">
      <c r="A5" s="92" t="s">
        <v>86</v>
      </c>
      <c r="B5" s="92" t="s">
        <v>87</v>
      </c>
      <c r="C5" s="92">
        <v>0</v>
      </c>
      <c r="D5" s="92">
        <v>8</v>
      </c>
      <c r="E5" s="92">
        <v>33</v>
      </c>
      <c r="F5" s="92">
        <v>1</v>
      </c>
      <c r="G5" s="92">
        <v>0</v>
      </c>
      <c r="H5" s="92">
        <v>8</v>
      </c>
      <c r="I5" s="92">
        <v>33</v>
      </c>
      <c r="J5" s="92">
        <v>2</v>
      </c>
    </row>
    <row r="6" spans="1:12" x14ac:dyDescent="0.25">
      <c r="A6" s="92" t="s">
        <v>88</v>
      </c>
      <c r="B6" s="92" t="s">
        <v>89</v>
      </c>
      <c r="C6" s="92">
        <v>0</v>
      </c>
      <c r="D6" s="92">
        <v>20</v>
      </c>
      <c r="E6" s="92">
        <v>33</v>
      </c>
      <c r="F6" s="92">
        <v>18</v>
      </c>
      <c r="G6" s="92">
        <v>0</v>
      </c>
      <c r="H6" s="92">
        <v>20</v>
      </c>
      <c r="I6" s="92">
        <v>33</v>
      </c>
      <c r="J6" s="92">
        <v>19</v>
      </c>
    </row>
    <row r="7" spans="1:12" x14ac:dyDescent="0.25">
      <c r="A7" s="92" t="s">
        <v>90</v>
      </c>
      <c r="B7" s="92" t="s">
        <v>91</v>
      </c>
      <c r="C7" s="92">
        <v>0</v>
      </c>
      <c r="D7" s="92">
        <v>22</v>
      </c>
      <c r="E7" s="92">
        <v>8</v>
      </c>
      <c r="F7" s="92">
        <v>0</v>
      </c>
      <c r="G7" s="92">
        <v>0</v>
      </c>
      <c r="H7" s="92">
        <v>22</v>
      </c>
      <c r="I7" s="92">
        <v>8</v>
      </c>
      <c r="J7" s="92">
        <v>1</v>
      </c>
      <c r="L7" s="92"/>
    </row>
    <row r="8" spans="1:12" x14ac:dyDescent="0.25">
      <c r="A8" s="92" t="s">
        <v>92</v>
      </c>
      <c r="B8" s="92" t="s">
        <v>93</v>
      </c>
      <c r="C8" s="92">
        <v>0</v>
      </c>
      <c r="D8" s="92">
        <v>24</v>
      </c>
      <c r="E8" s="92">
        <v>57</v>
      </c>
      <c r="F8" s="92">
        <v>5</v>
      </c>
      <c r="G8" s="92">
        <v>0</v>
      </c>
      <c r="H8" s="92">
        <v>24</v>
      </c>
      <c r="I8" s="92">
        <v>57</v>
      </c>
      <c r="J8" s="92">
        <v>6</v>
      </c>
    </row>
    <row r="9" spans="1:12" x14ac:dyDescent="0.25">
      <c r="A9" s="92" t="s">
        <v>94</v>
      </c>
      <c r="B9" s="92" t="s">
        <v>95</v>
      </c>
      <c r="C9" s="92">
        <v>0</v>
      </c>
      <c r="D9" s="92">
        <v>26</v>
      </c>
      <c r="E9" s="92">
        <v>22</v>
      </c>
      <c r="F9" s="92">
        <v>12</v>
      </c>
      <c r="G9" s="92">
        <v>0</v>
      </c>
      <c r="H9" s="92">
        <v>26</v>
      </c>
      <c r="I9" s="92">
        <v>22</v>
      </c>
      <c r="J9" s="92">
        <v>13</v>
      </c>
      <c r="L9" s="95" t="s">
        <v>96</v>
      </c>
    </row>
    <row r="10" spans="1:12" x14ac:dyDescent="0.25">
      <c r="A10" s="92" t="s">
        <v>97</v>
      </c>
      <c r="B10" s="92" t="s">
        <v>98</v>
      </c>
      <c r="C10" s="92">
        <v>0</v>
      </c>
      <c r="D10" s="92">
        <v>38</v>
      </c>
      <c r="E10" s="92">
        <v>57</v>
      </c>
      <c r="F10" s="92">
        <v>9</v>
      </c>
      <c r="G10" s="92">
        <v>0</v>
      </c>
      <c r="H10" s="92">
        <v>38</v>
      </c>
      <c r="I10" s="92">
        <v>57</v>
      </c>
      <c r="J10" s="92">
        <v>10</v>
      </c>
      <c r="L10" s="62" t="s">
        <v>146</v>
      </c>
    </row>
    <row r="11" spans="1:12" x14ac:dyDescent="0.25">
      <c r="A11" s="92" t="s">
        <v>99</v>
      </c>
      <c r="B11" s="92" t="s">
        <v>100</v>
      </c>
      <c r="C11" s="92">
        <v>0</v>
      </c>
      <c r="D11" s="92">
        <v>48</v>
      </c>
      <c r="E11" s="92">
        <v>39</v>
      </c>
      <c r="F11" s="92">
        <v>7</v>
      </c>
      <c r="G11" s="92">
        <v>0</v>
      </c>
      <c r="H11" s="92">
        <v>48</v>
      </c>
      <c r="I11" s="92">
        <v>39</v>
      </c>
      <c r="J11" s="92">
        <v>8</v>
      </c>
      <c r="L11" s="96" t="s">
        <v>148</v>
      </c>
    </row>
    <row r="12" spans="1:12" x14ac:dyDescent="0.25">
      <c r="A12" s="92" t="s">
        <v>101</v>
      </c>
      <c r="B12" s="92" t="s">
        <v>102</v>
      </c>
      <c r="C12" s="92">
        <v>0</v>
      </c>
      <c r="D12" s="92">
        <v>56</v>
      </c>
      <c r="E12" s="92">
        <v>9</v>
      </c>
      <c r="F12" s="92">
        <v>6</v>
      </c>
      <c r="G12" s="92">
        <v>0</v>
      </c>
      <c r="H12" s="92">
        <v>56</v>
      </c>
      <c r="I12" s="92">
        <v>9</v>
      </c>
      <c r="J12" s="92">
        <v>7</v>
      </c>
      <c r="L12" s="62" t="s">
        <v>103</v>
      </c>
    </row>
    <row r="13" spans="1:12" x14ac:dyDescent="0.25">
      <c r="A13" s="92" t="s">
        <v>104</v>
      </c>
      <c r="B13" s="92" t="s">
        <v>105</v>
      </c>
      <c r="C13" s="92">
        <v>1</v>
      </c>
      <c r="D13" s="92">
        <v>5</v>
      </c>
      <c r="E13" s="92">
        <v>18</v>
      </c>
      <c r="F13" s="92">
        <v>12</v>
      </c>
      <c r="G13" s="92">
        <v>1</v>
      </c>
      <c r="H13" s="92">
        <v>5</v>
      </c>
      <c r="I13" s="92">
        <v>18</v>
      </c>
      <c r="J13" s="92">
        <v>13</v>
      </c>
      <c r="L13" s="62" t="s">
        <v>106</v>
      </c>
    </row>
    <row r="14" spans="1:12" x14ac:dyDescent="0.25">
      <c r="L14" s="62" t="s">
        <v>107</v>
      </c>
    </row>
    <row r="15" spans="1:12" x14ac:dyDescent="0.25">
      <c r="L15" s="62" t="s">
        <v>108</v>
      </c>
    </row>
    <row r="16" spans="1:12" x14ac:dyDescent="0.25">
      <c r="L16" s="62" t="s">
        <v>109</v>
      </c>
    </row>
    <row r="17" spans="12:12" x14ac:dyDescent="0.25">
      <c r="L17" s="62" t="s">
        <v>110</v>
      </c>
    </row>
    <row r="18" spans="12:12" x14ac:dyDescent="0.25">
      <c r="L18" s="62" t="s">
        <v>111</v>
      </c>
    </row>
    <row r="19" spans="12:12" x14ac:dyDescent="0.25">
      <c r="L19" s="62" t="s">
        <v>112</v>
      </c>
    </row>
    <row r="20" spans="12:12" x14ac:dyDescent="0.25">
      <c r="L20" s="62" t="s">
        <v>113</v>
      </c>
    </row>
    <row r="21" spans="12:12" x14ac:dyDescent="0.25">
      <c r="L21" s="62" t="s">
        <v>114</v>
      </c>
    </row>
    <row r="22" spans="12:12" x14ac:dyDescent="0.25">
      <c r="L22" s="62" t="s">
        <v>115</v>
      </c>
    </row>
    <row r="23" spans="12:12" x14ac:dyDescent="0.25">
      <c r="L23" s="62" t="s">
        <v>116</v>
      </c>
    </row>
    <row r="24" spans="12:12" x14ac:dyDescent="0.25">
      <c r="L24" s="62" t="s">
        <v>117</v>
      </c>
    </row>
    <row r="25" spans="12:12" x14ac:dyDescent="0.25">
      <c r="L25" s="62" t="s">
        <v>118</v>
      </c>
    </row>
    <row r="26" spans="12:12" x14ac:dyDescent="0.25">
      <c r="L26" s="62" t="s">
        <v>119</v>
      </c>
    </row>
    <row r="27" spans="12:12" x14ac:dyDescent="0.25">
      <c r="L27" s="62" t="s">
        <v>120</v>
      </c>
    </row>
    <row r="28" spans="12:12" x14ac:dyDescent="0.25">
      <c r="L28" s="62" t="s">
        <v>121</v>
      </c>
    </row>
    <row r="29" spans="12:12" x14ac:dyDescent="0.25">
      <c r="L29" s="62" t="s">
        <v>122</v>
      </c>
    </row>
    <row r="30" spans="12:12" x14ac:dyDescent="0.25">
      <c r="L30" s="62" t="s">
        <v>123</v>
      </c>
    </row>
    <row r="31" spans="12:12" x14ac:dyDescent="0.25">
      <c r="L31" s="62" t="s">
        <v>124</v>
      </c>
    </row>
    <row r="32" spans="12:12" x14ac:dyDescent="0.25">
      <c r="L32" s="62" t="s">
        <v>125</v>
      </c>
    </row>
    <row r="33" spans="12:12" x14ac:dyDescent="0.25">
      <c r="L33" s="62" t="s">
        <v>126</v>
      </c>
    </row>
    <row r="34" spans="12:12" x14ac:dyDescent="0.25">
      <c r="L34" s="62" t="s">
        <v>127</v>
      </c>
    </row>
    <row r="35" spans="12:12" x14ac:dyDescent="0.25">
      <c r="L35" s="62" t="s">
        <v>128</v>
      </c>
    </row>
    <row r="36" spans="12:12" x14ac:dyDescent="0.25">
      <c r="L36" s="62" t="s">
        <v>129</v>
      </c>
    </row>
    <row r="37" spans="12:12" x14ac:dyDescent="0.25">
      <c r="L37" s="62" t="s">
        <v>130</v>
      </c>
    </row>
    <row r="38" spans="12:12" x14ac:dyDescent="0.25">
      <c r="L38" s="62" t="s">
        <v>131</v>
      </c>
    </row>
    <row r="39" spans="12:12" x14ac:dyDescent="0.25">
      <c r="L39" s="62" t="s">
        <v>132</v>
      </c>
    </row>
    <row r="40" spans="12:12" x14ac:dyDescent="0.25">
      <c r="L40" s="62" t="s">
        <v>133</v>
      </c>
    </row>
    <row r="41" spans="12:12" x14ac:dyDescent="0.25">
      <c r="L41" s="62" t="s">
        <v>134</v>
      </c>
    </row>
    <row r="42" spans="12:12" x14ac:dyDescent="0.25">
      <c r="L42" s="62" t="s">
        <v>135</v>
      </c>
    </row>
    <row r="43" spans="12:12" x14ac:dyDescent="0.25">
      <c r="L43" s="62" t="s">
        <v>136</v>
      </c>
    </row>
    <row r="44" spans="12:12" x14ac:dyDescent="0.25">
      <c r="L44" s="62" t="s">
        <v>137</v>
      </c>
    </row>
    <row r="45" spans="12:12" x14ac:dyDescent="0.25">
      <c r="L45" s="62" t="s">
        <v>138</v>
      </c>
    </row>
    <row r="46" spans="12:12" x14ac:dyDescent="0.25">
      <c r="L46" s="62" t="s">
        <v>139</v>
      </c>
    </row>
    <row r="47" spans="12:12" x14ac:dyDescent="0.25">
      <c r="L47" s="62" t="s">
        <v>140</v>
      </c>
    </row>
    <row r="48" spans="12:12" x14ac:dyDescent="0.25">
      <c r="L48" s="62" t="s">
        <v>141</v>
      </c>
    </row>
    <row r="49" spans="12:12" x14ac:dyDescent="0.25">
      <c r="L49" s="62" t="s">
        <v>142</v>
      </c>
    </row>
    <row r="50" spans="12:12" x14ac:dyDescent="0.25">
      <c r="L50" s="62" t="s">
        <v>143</v>
      </c>
    </row>
    <row r="51" spans="12:12" x14ac:dyDescent="0.25">
      <c r="L51" s="62" t="s">
        <v>144</v>
      </c>
    </row>
  </sheetData>
  <sheetProtection selectLockedCells="1"/>
  <phoneticPr fontId="18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C1" sqref="C1"/>
    </sheetView>
  </sheetViews>
  <sheetFormatPr defaultRowHeight="15" x14ac:dyDescent="0.25"/>
  <cols>
    <col min="1" max="1" width="3" customWidth="1"/>
    <col min="2" max="2" width="9.140625" style="22"/>
    <col min="3" max="3" width="61.140625" customWidth="1"/>
    <col min="4" max="4" width="11.140625" bestFit="1" customWidth="1"/>
    <col min="5" max="5" width="9.7109375" style="1" bestFit="1" customWidth="1"/>
    <col min="6" max="6" width="56" bestFit="1" customWidth="1"/>
  </cols>
  <sheetData>
    <row r="1" spans="2:6" ht="21" x14ac:dyDescent="0.35">
      <c r="B1" s="24">
        <f>MAX(B4:B26)</f>
        <v>0.1</v>
      </c>
      <c r="C1" s="25" t="s">
        <v>50</v>
      </c>
      <c r="D1" s="23"/>
      <c r="E1" s="45"/>
      <c r="F1" s="46" t="s">
        <v>54</v>
      </c>
    </row>
    <row r="2" spans="2:6" ht="15.75" thickBot="1" x14ac:dyDescent="0.3"/>
    <row r="3" spans="2:6" ht="15.75" thickBot="1" x14ac:dyDescent="0.3">
      <c r="B3" s="27" t="s">
        <v>42</v>
      </c>
      <c r="C3" s="28" t="s">
        <v>43</v>
      </c>
      <c r="D3" s="28" t="s">
        <v>44</v>
      </c>
      <c r="E3" s="29" t="s">
        <v>45</v>
      </c>
      <c r="F3" s="30" t="s">
        <v>48</v>
      </c>
    </row>
    <row r="4" spans="2:6" x14ac:dyDescent="0.25">
      <c r="B4" s="31">
        <v>0</v>
      </c>
      <c r="C4" s="32" t="s">
        <v>47</v>
      </c>
      <c r="D4" s="33" t="s">
        <v>46</v>
      </c>
      <c r="E4" s="34">
        <v>44974</v>
      </c>
      <c r="F4" s="43" t="s">
        <v>49</v>
      </c>
    </row>
    <row r="5" spans="2:6" ht="92.25" customHeight="1" x14ac:dyDescent="0.25">
      <c r="B5" s="35">
        <v>0.1</v>
      </c>
      <c r="C5" s="40" t="s">
        <v>68</v>
      </c>
      <c r="D5" s="41" t="s">
        <v>46</v>
      </c>
      <c r="E5" s="44">
        <v>44976</v>
      </c>
      <c r="F5" s="47" t="s">
        <v>55</v>
      </c>
    </row>
    <row r="6" spans="2:6" x14ac:dyDescent="0.25">
      <c r="B6" s="35"/>
      <c r="C6" s="40"/>
      <c r="D6" s="41"/>
      <c r="E6" s="26"/>
      <c r="F6" s="42"/>
    </row>
    <row r="7" spans="2:6" x14ac:dyDescent="0.25">
      <c r="B7" s="35"/>
      <c r="C7" s="40"/>
      <c r="D7" s="41"/>
      <c r="E7" s="26"/>
      <c r="F7" s="42"/>
    </row>
    <row r="8" spans="2:6" x14ac:dyDescent="0.25">
      <c r="B8" s="35"/>
      <c r="C8" s="40"/>
      <c r="D8" s="41"/>
      <c r="E8" s="26"/>
      <c r="F8" s="42"/>
    </row>
    <row r="9" spans="2:6" x14ac:dyDescent="0.25">
      <c r="B9" s="35"/>
      <c r="C9" s="40"/>
      <c r="D9" s="41"/>
      <c r="E9" s="26"/>
      <c r="F9" s="42"/>
    </row>
    <row r="10" spans="2:6" x14ac:dyDescent="0.25">
      <c r="B10" s="35"/>
      <c r="C10" s="40"/>
      <c r="D10" s="41"/>
      <c r="E10" s="26"/>
      <c r="F10" s="42"/>
    </row>
    <row r="11" spans="2:6" x14ac:dyDescent="0.25">
      <c r="B11" s="35"/>
      <c r="C11" s="40"/>
      <c r="D11" s="41"/>
      <c r="E11" s="26"/>
      <c r="F11" s="42"/>
    </row>
    <row r="12" spans="2:6" x14ac:dyDescent="0.25">
      <c r="B12" s="35"/>
      <c r="C12" s="40"/>
      <c r="D12" s="41"/>
      <c r="E12" s="26"/>
      <c r="F12" s="42"/>
    </row>
    <row r="13" spans="2:6" x14ac:dyDescent="0.25">
      <c r="B13" s="35"/>
      <c r="C13" s="40"/>
      <c r="D13" s="41"/>
      <c r="E13" s="26"/>
      <c r="F13" s="42"/>
    </row>
    <row r="14" spans="2:6" x14ac:dyDescent="0.25">
      <c r="B14" s="35"/>
      <c r="C14" s="40"/>
      <c r="D14" s="41"/>
      <c r="E14" s="26"/>
      <c r="F14" s="42"/>
    </row>
    <row r="15" spans="2:6" x14ac:dyDescent="0.25">
      <c r="B15" s="35"/>
      <c r="C15" s="40"/>
      <c r="D15" s="41"/>
      <c r="E15" s="26"/>
      <c r="F15" s="42"/>
    </row>
    <row r="16" spans="2:6" x14ac:dyDescent="0.25">
      <c r="B16" s="35"/>
      <c r="C16" s="40"/>
      <c r="D16" s="41"/>
      <c r="E16" s="26"/>
      <c r="F16" s="42"/>
    </row>
    <row r="17" spans="2:6" x14ac:dyDescent="0.25">
      <c r="B17" s="35"/>
      <c r="C17" s="40"/>
      <c r="D17" s="41"/>
      <c r="E17" s="26"/>
      <c r="F17" s="42"/>
    </row>
    <row r="18" spans="2:6" x14ac:dyDescent="0.25">
      <c r="B18" s="35"/>
      <c r="C18" s="40"/>
      <c r="D18" s="41"/>
      <c r="E18" s="26"/>
      <c r="F18" s="42"/>
    </row>
    <row r="19" spans="2:6" x14ac:dyDescent="0.25">
      <c r="B19" s="35"/>
      <c r="C19" s="40"/>
      <c r="D19" s="41"/>
      <c r="E19" s="26"/>
      <c r="F19" s="42"/>
    </row>
    <row r="20" spans="2:6" x14ac:dyDescent="0.25">
      <c r="B20" s="35"/>
      <c r="C20" s="40"/>
      <c r="D20" s="41"/>
      <c r="E20" s="26"/>
      <c r="F20" s="42"/>
    </row>
    <row r="21" spans="2:6" x14ac:dyDescent="0.25">
      <c r="B21" s="35"/>
      <c r="C21" s="40"/>
      <c r="D21" s="41"/>
      <c r="E21" s="26"/>
      <c r="F21" s="42"/>
    </row>
    <row r="22" spans="2:6" x14ac:dyDescent="0.25">
      <c r="B22" s="35"/>
      <c r="C22" s="40"/>
      <c r="D22" s="41"/>
      <c r="E22" s="26"/>
      <c r="F22" s="42"/>
    </row>
    <row r="23" spans="2:6" x14ac:dyDescent="0.25">
      <c r="B23" s="35"/>
      <c r="C23" s="40"/>
      <c r="D23" s="41"/>
      <c r="E23" s="26"/>
      <c r="F23" s="42"/>
    </row>
    <row r="24" spans="2:6" x14ac:dyDescent="0.25">
      <c r="B24" s="35"/>
      <c r="C24" s="40"/>
      <c r="D24" s="41"/>
      <c r="E24" s="26"/>
      <c r="F24" s="42"/>
    </row>
    <row r="25" spans="2:6" x14ac:dyDescent="0.25">
      <c r="B25" s="35"/>
      <c r="C25" s="40"/>
      <c r="D25" s="41"/>
      <c r="E25" s="26"/>
      <c r="F25" s="42"/>
    </row>
    <row r="26" spans="2:6" ht="15.75" thickBot="1" x14ac:dyDescent="0.3">
      <c r="B26" s="36"/>
      <c r="C26" s="37"/>
      <c r="D26" s="37"/>
      <c r="E26" s="38"/>
      <c r="F26" s="39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Instructions</vt:lpstr>
      <vt:lpstr>SigSample</vt:lpstr>
      <vt:lpstr>MERG YouTube WiKi Text Maker</vt:lpstr>
      <vt:lpstr>EDL Processor</vt:lpstr>
      <vt:lpstr>Revision Control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2023-02-23T01:07:01Z</dcterms:modified>
</cp:coreProperties>
</file>