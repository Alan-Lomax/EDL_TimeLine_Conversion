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comments3.xml" ContentType="application/vnd.openxmlformats-officedocument.spreadsheetml.comments+xml"/>
  <Override PartName="/xl/queryTables/queryTable1.xml" ContentType="application/vnd.openxmlformats-officedocument.spreadsheetml.query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D:\MERG_Video\Process_EDL_Files\"/>
    </mc:Choice>
  </mc:AlternateContent>
  <xr:revisionPtr revIDLastSave="0" documentId="13_ncr:1_{8B5F0252-700D-4CA0-AC2D-704F3347CC74}" xr6:coauthVersionLast="45" xr6:coauthVersionMax="47" xr10:uidLastSave="{00000000-0000-0000-0000-000000000000}"/>
  <bookViews>
    <workbookView xWindow="28680" yWindow="-120" windowWidth="29040" windowHeight="15720" tabRatio="816" activeTab="1" xr2:uid="{00000000-000D-0000-FFFF-FFFF00000000}"/>
  </bookViews>
  <sheets>
    <sheet name="Instructions" sheetId="2" r:id="rId1"/>
    <sheet name="Arduino_SIG_Zoom_2025_12_09" sheetId="94" r:id="rId2"/>
    <sheet name="Arduino_SIG_Zoom_22025_11_25" sheetId="93" r:id="rId3"/>
    <sheet name="SIGSample" sheetId="51" r:id="rId4"/>
    <sheet name="Template" sheetId="1" state="hidden" r:id="rId5"/>
    <sheet name="EDL Processor" sheetId="20" state="hidden" r:id="rId6"/>
    <sheet name="Revision Control" sheetId="7" r:id="rId7"/>
    <sheet name="Screen Shots" sheetId="52" r:id="rId8"/>
  </sheets>
  <functionGroups builtInGroupCount="19"/>
  <definedNames>
    <definedName name="BoxTitle" localSheetId="1">Arduino_SIG_Zoom_2025_12_09!$B$3</definedName>
    <definedName name="BoxTitle" localSheetId="2">Arduino_SIG_Zoom_22025_11_25!$B$3</definedName>
    <definedName name="BoxTitle" localSheetId="3">SIGSample!$B$3</definedName>
    <definedName name="BoxTitle">Template!$B$3</definedName>
    <definedName name="EDLFileName">'EDL Processor'!$L$2</definedName>
    <definedName name="EndWrap" localSheetId="1">Arduino_SIG_Zoom_2025_12_09!$J$15</definedName>
    <definedName name="EndWrap" localSheetId="2">Arduino_SIG_Zoom_22025_11_25!$J$15</definedName>
    <definedName name="EndWrap" localSheetId="3">SIGSample!$J$15</definedName>
    <definedName name="EndWrap">Template!$J$15</definedName>
    <definedName name="EOL" localSheetId="1">Arduino_SIG_Zoom_2025_12_09!$J$16</definedName>
    <definedName name="EOL" localSheetId="2">Arduino_SIG_Zoom_22025_11_25!$J$16</definedName>
    <definedName name="EOL" localSheetId="3">SIGSample!$J$16</definedName>
    <definedName name="EOL">Template!$J$16</definedName>
    <definedName name="LongDescription" localSheetId="1">Arduino_SIG_Zoom_2025_12_09!$B$8</definedName>
    <definedName name="LongDescription" localSheetId="2">Arduino_SIG_Zoom_22025_11_25!$B$8</definedName>
    <definedName name="LongDescription" localSheetId="3">SIGSample!$B$8</definedName>
    <definedName name="LongDescription">Template!$B$8</definedName>
    <definedName name="LT1Hr" localSheetId="1">Arduino_SIG_Zoom_2025_12_09!$D$31</definedName>
    <definedName name="LT1Hr" localSheetId="2">Arduino_SIG_Zoom_22025_11_25!$D$31</definedName>
    <definedName name="LT1Hr" localSheetId="3">SIGSample!$D$31</definedName>
    <definedName name="LT1Hr">Template!$D$31</definedName>
    <definedName name="NewSource">'EDL Processor'!$L$11</definedName>
    <definedName name="OneLineDescription" localSheetId="1">Arduino_SIG_Zoom_2025_12_09!$B$7</definedName>
    <definedName name="OneLineDescription" localSheetId="2">Arduino_SIG_Zoom_22025_11_25!$B$7</definedName>
    <definedName name="OneLineDescription" localSheetId="3">SIGSample!$B$7</definedName>
    <definedName name="OneLineDescription">Template!$B$7</definedName>
    <definedName name="Timeline_1_1" localSheetId="5">'EDL Processor'!$A$1:$J$11</definedName>
    <definedName name="TL_Line1" localSheetId="1">Arduino_SIG_Zoom_2025_12_09!$A$10</definedName>
    <definedName name="TL_Line1" localSheetId="2">Arduino_SIG_Zoom_22025_11_25!$A$10</definedName>
    <definedName name="TL_Line1" localSheetId="3">SIGSample!$A$10</definedName>
    <definedName name="TL_Line1">Template!$A$10</definedName>
    <definedName name="txtDateTime" localSheetId="1">Arduino_SIG_Zoom_2025_12_09!$B$4</definedName>
    <definedName name="txtDateTime" localSheetId="2">Arduino_SIG_Zoom_22025_11_25!$B$4</definedName>
    <definedName name="txtDateTime" localSheetId="3">SIGSample!$B$4</definedName>
    <definedName name="txtDateTime">Template!$B$4</definedName>
    <definedName name="VideoTitle" localSheetId="1">Arduino_SIG_Zoom_2025_12_09!$B$5</definedName>
    <definedName name="VideoTitle" localSheetId="2">Arduino_SIG_Zoom_22025_11_25!$B$5</definedName>
    <definedName name="VideoTitle" localSheetId="3">SIGSample!$B$5</definedName>
    <definedName name="VideoTitle">Template!$B$5</definedName>
    <definedName name="WRAPbox" localSheetId="1">Arduino_SIG_Zoom_2025_12_09!$J$12</definedName>
    <definedName name="WRAPbox" localSheetId="2">Arduino_SIG_Zoom_22025_11_25!$J$12</definedName>
    <definedName name="WRAPbox" localSheetId="3">SIGSample!$J$12</definedName>
    <definedName name="WRAPbox">Template!$J$12</definedName>
    <definedName name="WRAPcolumn" localSheetId="1">Arduino_SIG_Zoom_2025_12_09!$J$13</definedName>
    <definedName name="WRAPcolumn" localSheetId="2">Arduino_SIG_Zoom_22025_11_25!$J$13</definedName>
    <definedName name="WRAPcolumn" localSheetId="3">SIGSample!$J$13</definedName>
    <definedName name="WRAPcolumn">Template!$J$13</definedName>
    <definedName name="WRAPcolumnhalf" localSheetId="1">Arduino_SIG_Zoom_2025_12_09!$J$14</definedName>
    <definedName name="WRAPcolumnhalf" localSheetId="2">Arduino_SIG_Zoom_22025_11_25!$J$14</definedName>
    <definedName name="WRAPcolumnhalf" localSheetId="3">SIGSample!$J$14</definedName>
    <definedName name="WRAPcolumnhalf">Template!$J$14</definedName>
    <definedName name="YT_minutes" localSheetId="1">Arduino_SIG_Zoom_2025_12_09!$B$6</definedName>
    <definedName name="YT_minutes" localSheetId="2">Arduino_SIG_Zoom_22025_11_25!$B$6</definedName>
    <definedName name="YT_minutes" localSheetId="3">SIGSample!$B$6</definedName>
    <definedName name="YT_minutes">Template!$B$6</definedName>
    <definedName name="YT_Show_More" localSheetId="1">Arduino_SIG_Zoom_2025_12_09!$J$11</definedName>
    <definedName name="YT_Show_More" localSheetId="2">Arduino_SIG_Zoom_22025_11_25!$J$11</definedName>
    <definedName name="YT_Show_More" localSheetId="3">SIGSample!$J$11</definedName>
    <definedName name="YT_Show_More">Template!$J$11</definedName>
    <definedName name="YT_URL" localSheetId="1">Arduino_SIG_Zoom_2025_12_09!$B$2</definedName>
    <definedName name="YT_URL" localSheetId="2">Arduino_SIG_Zoom_22025_11_25!$B$2</definedName>
    <definedName name="YT_URL" localSheetId="3">SIGSample!$B$2</definedName>
    <definedName name="YT_URL">Template!$B$2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3" i="94" l="1"/>
  <c r="C42" i="94"/>
  <c r="C41" i="94"/>
  <c r="C40" i="94"/>
  <c r="C39" i="94"/>
  <c r="C38" i="94"/>
  <c r="B32" i="94"/>
  <c r="A29" i="94"/>
  <c r="G30" i="94" s="1"/>
  <c r="A28" i="94"/>
  <c r="B30" i="94" s="1"/>
  <c r="A27" i="94"/>
  <c r="F28" i="94" s="1"/>
  <c r="A26" i="94"/>
  <c r="B28" i="94" s="1"/>
  <c r="A25" i="94"/>
  <c r="F26" i="94" s="1"/>
  <c r="A24" i="94"/>
  <c r="B26" i="94" s="1"/>
  <c r="A23" i="94"/>
  <c r="F24" i="94" s="1"/>
  <c r="A22" i="94"/>
  <c r="A21" i="94"/>
  <c r="F22" i="94" s="1"/>
  <c r="A20" i="94"/>
  <c r="A19" i="94"/>
  <c r="F20" i="94" s="1"/>
  <c r="A18" i="94"/>
  <c r="C17" i="94"/>
  <c r="A17" i="94"/>
  <c r="F18" i="94" s="1"/>
  <c r="C16" i="94"/>
  <c r="A16" i="94"/>
  <c r="C15" i="94"/>
  <c r="A15" i="94"/>
  <c r="F16" i="94" s="1"/>
  <c r="C14" i="94"/>
  <c r="A14" i="94"/>
  <c r="C13" i="94"/>
  <c r="A13" i="94"/>
  <c r="F14" i="94" s="1"/>
  <c r="C12" i="94"/>
  <c r="A12" i="94"/>
  <c r="C11" i="94"/>
  <c r="B11" i="94"/>
  <c r="A11" i="94"/>
  <c r="F12" i="94" s="1"/>
  <c r="C10" i="94"/>
  <c r="B10" i="94"/>
  <c r="A10" i="94"/>
  <c r="C7" i="94"/>
  <c r="G28" i="94" l="1"/>
  <c r="G16" i="94"/>
  <c r="H30" i="94"/>
  <c r="G29" i="94"/>
  <c r="B31" i="94"/>
  <c r="G22" i="94"/>
  <c r="E29" i="94"/>
  <c r="G12" i="94"/>
  <c r="H29" i="94"/>
  <c r="G14" i="94"/>
  <c r="H14" i="94"/>
  <c r="G26" i="94"/>
  <c r="F29" i="94"/>
  <c r="H12" i="94"/>
  <c r="H20" i="94"/>
  <c r="H26" i="94"/>
  <c r="B19" i="94"/>
  <c r="B27" i="94"/>
  <c r="B15" i="94"/>
  <c r="E11" i="94"/>
  <c r="E13" i="94"/>
  <c r="E15" i="94"/>
  <c r="E17" i="94"/>
  <c r="E19" i="94"/>
  <c r="E21" i="94"/>
  <c r="E23" i="94"/>
  <c r="E25" i="94"/>
  <c r="E27" i="94"/>
  <c r="F11" i="94"/>
  <c r="F15" i="94"/>
  <c r="F21" i="94"/>
  <c r="F23" i="94"/>
  <c r="G20" i="94"/>
  <c r="B17" i="94"/>
  <c r="B21" i="94"/>
  <c r="B23" i="94"/>
  <c r="B25" i="94"/>
  <c r="B29" i="94"/>
  <c r="F13" i="94"/>
  <c r="F19" i="94"/>
  <c r="F27" i="94"/>
  <c r="G11" i="94"/>
  <c r="G13" i="94"/>
  <c r="G15" i="94"/>
  <c r="G17" i="94"/>
  <c r="G19" i="94"/>
  <c r="G21" i="94"/>
  <c r="G23" i="94"/>
  <c r="G25" i="94"/>
  <c r="G27" i="94"/>
  <c r="B13" i="94"/>
  <c r="F17" i="94"/>
  <c r="F25" i="94"/>
  <c r="H11" i="94"/>
  <c r="H13" i="94"/>
  <c r="H15" i="94"/>
  <c r="H17" i="94"/>
  <c r="H19" i="94"/>
  <c r="H21" i="94"/>
  <c r="H23" i="94"/>
  <c r="H25" i="94"/>
  <c r="H27" i="94"/>
  <c r="G18" i="94"/>
  <c r="G24" i="94"/>
  <c r="H16" i="94"/>
  <c r="H22" i="94"/>
  <c r="H28" i="94"/>
  <c r="B12" i="94"/>
  <c r="B14" i="94"/>
  <c r="B16" i="94"/>
  <c r="B18" i="94"/>
  <c r="B20" i="94"/>
  <c r="B22" i="94"/>
  <c r="B24" i="94"/>
  <c r="E30" i="94"/>
  <c r="D30" i="94" s="1"/>
  <c r="C37" i="94" s="1"/>
  <c r="E12" i="94"/>
  <c r="D12" i="94" s="1"/>
  <c r="E14" i="94"/>
  <c r="D14" i="94" s="1"/>
  <c r="C21" i="94" s="1"/>
  <c r="E16" i="94"/>
  <c r="D16" i="94" s="1"/>
  <c r="C23" i="94" s="1"/>
  <c r="E18" i="94"/>
  <c r="E20" i="94"/>
  <c r="D20" i="94" s="1"/>
  <c r="E22" i="94"/>
  <c r="E24" i="94"/>
  <c r="E26" i="94"/>
  <c r="E28" i="94"/>
  <c r="D28" i="94" s="1"/>
  <c r="C35" i="94" s="1"/>
  <c r="F30" i="94"/>
  <c r="H18" i="94"/>
  <c r="H24" i="94"/>
  <c r="A10" i="1"/>
  <c r="H11" i="1" s="1"/>
  <c r="A11" i="1"/>
  <c r="G12" i="1" s="1"/>
  <c r="A12" i="1"/>
  <c r="H13" i="1" s="1"/>
  <c r="A13" i="1"/>
  <c r="H14" i="1" s="1"/>
  <c r="A14" i="1"/>
  <c r="H15" i="1" s="1"/>
  <c r="A15" i="1"/>
  <c r="E16" i="1" s="1"/>
  <c r="A16" i="1"/>
  <c r="H17" i="1" s="1"/>
  <c r="A17" i="1"/>
  <c r="G18" i="1" s="1"/>
  <c r="A18" i="1"/>
  <c r="H19" i="1" s="1"/>
  <c r="A19" i="1"/>
  <c r="E20" i="1" s="1"/>
  <c r="A20" i="1"/>
  <c r="H21" i="1" s="1"/>
  <c r="A21" i="1"/>
  <c r="H22" i="1" s="1"/>
  <c r="A22" i="1"/>
  <c r="G23" i="1" s="1"/>
  <c r="A23" i="1"/>
  <c r="G24" i="1" s="1"/>
  <c r="A24" i="1"/>
  <c r="E25" i="1" s="1"/>
  <c r="A25" i="1"/>
  <c r="H26" i="1" s="1"/>
  <c r="A26" i="1"/>
  <c r="H27" i="1" s="1"/>
  <c r="A27" i="1"/>
  <c r="H28" i="1" s="1"/>
  <c r="A28" i="1"/>
  <c r="H29" i="1" s="1"/>
  <c r="A29" i="1"/>
  <c r="H30" i="1" s="1"/>
  <c r="C7" i="1"/>
  <c r="B1" i="7"/>
  <c r="A1" i="2" s="1"/>
  <c r="C40" i="1"/>
  <c r="C43" i="1"/>
  <c r="C19" i="94" l="1"/>
  <c r="D18" i="94"/>
  <c r="D23" i="94"/>
  <c r="D24" i="94"/>
  <c r="C31" i="94" s="1"/>
  <c r="D22" i="94"/>
  <c r="C29" i="94" s="1"/>
  <c r="C25" i="94"/>
  <c r="D29" i="94"/>
  <c r="C36" i="94" s="1"/>
  <c r="D26" i="94"/>
  <c r="C33" i="94" s="1"/>
  <c r="D27" i="94"/>
  <c r="C34" i="94" s="1"/>
  <c r="C30" i="94"/>
  <c r="C27" i="94"/>
  <c r="D25" i="94"/>
  <c r="C32" i="94" s="1"/>
  <c r="D21" i="94"/>
  <c r="C28" i="94" s="1"/>
  <c r="D19" i="94"/>
  <c r="C26" i="94" s="1"/>
  <c r="D17" i="94"/>
  <c r="C24" i="94" s="1"/>
  <c r="D15" i="94"/>
  <c r="C22" i="94" s="1"/>
  <c r="D13" i="94"/>
  <c r="C20" i="94" s="1"/>
  <c r="D11" i="94"/>
  <c r="C18" i="94" s="1"/>
  <c r="H20" i="1"/>
  <c r="F20" i="1"/>
  <c r="G17" i="1"/>
  <c r="G21" i="1"/>
  <c r="E17" i="1"/>
  <c r="H18" i="1"/>
  <c r="E18" i="1"/>
  <c r="F18" i="1"/>
  <c r="G16" i="1"/>
  <c r="E19" i="1"/>
  <c r="F16" i="1"/>
  <c r="F19" i="1"/>
  <c r="G19" i="1"/>
  <c r="H16" i="1"/>
  <c r="F17" i="1"/>
  <c r="G20" i="1"/>
  <c r="E13" i="1"/>
  <c r="F13" i="1"/>
  <c r="G13" i="1"/>
  <c r="E21" i="1"/>
  <c r="F21" i="1"/>
  <c r="E23" i="1"/>
  <c r="H23" i="1"/>
  <c r="F24" i="1"/>
  <c r="H24" i="1"/>
  <c r="F25" i="1"/>
  <c r="H25" i="1"/>
  <c r="G25" i="1"/>
  <c r="E22" i="1"/>
  <c r="F22" i="1"/>
  <c r="G22" i="1"/>
  <c r="E14" i="1"/>
  <c r="E15" i="1"/>
  <c r="G15" i="1"/>
  <c r="F15" i="1"/>
  <c r="F14" i="1"/>
  <c r="E28" i="1"/>
  <c r="G14" i="1"/>
  <c r="F28" i="1"/>
  <c r="G28" i="1"/>
  <c r="F23" i="1"/>
  <c r="E24" i="1"/>
  <c r="E29" i="1"/>
  <c r="F29" i="1"/>
  <c r="G29" i="1"/>
  <c r="E26" i="1"/>
  <c r="F26" i="1"/>
  <c r="G26" i="1"/>
  <c r="E30" i="1"/>
  <c r="F30" i="1"/>
  <c r="E27" i="1"/>
  <c r="G30" i="1"/>
  <c r="F27" i="1"/>
  <c r="G27" i="1"/>
  <c r="E12" i="1"/>
  <c r="F12" i="1"/>
  <c r="H12" i="1"/>
  <c r="B12" i="1"/>
  <c r="E11" i="1"/>
  <c r="F11" i="1"/>
  <c r="G11" i="1"/>
  <c r="C13" i="1"/>
  <c r="C12" i="1"/>
  <c r="C11" i="1"/>
  <c r="B11" i="1"/>
  <c r="C17" i="1"/>
  <c r="B14" i="1"/>
  <c r="B15" i="1"/>
  <c r="B16" i="1"/>
  <c r="B17" i="1"/>
  <c r="B18" i="1"/>
  <c r="B19" i="1"/>
  <c r="B20" i="1"/>
  <c r="B21" i="1"/>
  <c r="B22" i="1"/>
  <c r="B23" i="1"/>
  <c r="B24" i="1"/>
  <c r="B25" i="1"/>
  <c r="B26" i="1"/>
  <c r="B27" i="1"/>
  <c r="B28" i="1"/>
  <c r="B29" i="1"/>
  <c r="B30" i="1"/>
  <c r="B31" i="1"/>
  <c r="B10" i="1"/>
  <c r="B32" i="1"/>
  <c r="C16" i="1"/>
  <c r="C42" i="1"/>
  <c r="C41" i="1"/>
  <c r="C39" i="1"/>
  <c r="C38" i="1"/>
  <c r="C15" i="1"/>
  <c r="C14" i="1"/>
  <c r="C10" i="1"/>
  <c r="B13" i="1"/>
  <c r="D23" i="1" l="1"/>
  <c r="C30" i="1" s="1"/>
  <c r="D20" i="1"/>
  <c r="C27" i="1" s="1"/>
  <c r="D24" i="1"/>
  <c r="C31" i="1" s="1"/>
  <c r="D18" i="1"/>
  <c r="C25" i="1" s="1"/>
  <c r="D19" i="1"/>
  <c r="C26" i="1" s="1"/>
  <c r="D17" i="1"/>
  <c r="C24" i="1" s="1"/>
  <c r="D16" i="1"/>
  <c r="C23" i="1" s="1"/>
  <c r="D13" i="1"/>
  <c r="C20" i="1" s="1"/>
  <c r="D14" i="1"/>
  <c r="C21" i="1" s="1"/>
  <c r="D15" i="1"/>
  <c r="C22" i="1" s="1"/>
  <c r="D11" i="1"/>
  <c r="C18" i="1" s="1"/>
  <c r="D25" i="1"/>
  <c r="C32" i="1" s="1"/>
  <c r="D21" i="1"/>
  <c r="C28" i="1" s="1"/>
  <c r="D22" i="1"/>
  <c r="C29" i="1" s="1"/>
  <c r="D27" i="1"/>
  <c r="C34" i="1" s="1"/>
  <c r="D28" i="1"/>
  <c r="C35" i="1" s="1"/>
  <c r="D30" i="1"/>
  <c r="C37" i="1" s="1"/>
  <c r="D26" i="1"/>
  <c r="C33" i="1" s="1"/>
  <c r="D29" i="1"/>
  <c r="C36" i="1" s="1"/>
  <c r="D12" i="1"/>
  <c r="C1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A1" authorId="0" shapeId="0" xr:uid="{3B68E869-EBEB-47B4-B20E-6C38D1FA7636}">
      <text>
        <r>
          <rPr>
            <b/>
            <sz val="9"/>
            <color indexed="81"/>
            <rFont val="Tahoma"/>
            <family val="2"/>
          </rPr>
          <t>Alan Lomax:</t>
        </r>
        <r>
          <rPr>
            <sz val="9"/>
            <color indexed="81"/>
            <rFont val="Tahoma"/>
            <family val="2"/>
          </rPr>
          <t xml:space="preserve">
Jump to Revision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B9" authorId="0" shapeId="0" xr:uid="{E0C4ECC9-E1A9-4481-A469-76AE2EA1CD26}">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green output boxes</t>
        </r>
      </text>
    </comment>
    <comment ref="C9" authorId="0" shapeId="0" xr:uid="{1591BC14-5E6E-4207-89F4-014F6F5F221E}">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blue output boxes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B9" authorId="0" shapeId="0" xr:uid="{5C10F847-D7C9-4D73-B69C-4AF5FDA2BDC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green output boxes</t>
        </r>
      </text>
    </comment>
    <comment ref="C9" authorId="0" shapeId="0" xr:uid="{E75B66BE-D66E-4046-9833-842F16BF25F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blue output boxes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727CA7-7642-4664-ABB6-64C944BAA7CB}" keepAlive="1" name="Connection" type="5" refreshedVersion="8" saveData="1">
    <dbPr connection="Provider=Microsoft.Mashup.OleDb.1;Data Source=$Workbook$;Location=&quot;Timeline 1&quot;;Extended Properties=&quot;&quot;" command="SELECT * FROM [Timeline 1]" commandType="4"/>
  </connection>
  <connection id="2" xr16:uid="{A532A8ED-2F10-4E37-AB81-4AA590BF7D20}" keepAlive="1" name="Connection1" type="5" refreshedVersion="0" background="1">
    <dbPr connection="Provider=Microsoft.Mashup.OleDb.1;Data Source=$Workbook$;Location=Timeline 1" commandType="0"/>
  </connection>
  <connection id="3" xr16:uid="{C1F248A4-BC65-4CDD-8D6C-90B97C604B24}" keepAlive="1" name="Connection10" type="5" refreshedVersion="0" background="1">
    <dbPr connection="Provider=Microsoft.Mashup.OleDb.1;Data Source=$Workbook$;Location=Timeline 1" commandType="0"/>
  </connection>
  <connection id="4" xr16:uid="{B695E9F7-F88B-4046-8488-C34F1900EBA4}" keepAlive="1" name="Connection100" type="5" refreshedVersion="8" background="1" saveData="1">
    <dbPr connection="Provider=Microsoft.Mashup.OleDb.1;Data Source=$Workbook$;Location=&quot;Timeline 1&quot;;Extended Properties=&quot;&quot;" command="SELECT * FROM [Timeline 1]" commandType="4"/>
  </connection>
  <connection id="5" xr16:uid="{C9302C7F-4203-4E1A-9DCC-37B637E2A449}" keepAlive="1" name="Connection101" type="5" refreshedVersion="8" background="1">
    <dbPr connection="Provider=Microsoft.Mashup.OleDb.1;Data Source=$Workbook$;Location=&quot;Timeline 1&quot;;Extended Properties=&quot;&quot;" command="SELECT * FROM [Timeline 1]" commandType="4"/>
  </connection>
  <connection id="6" xr16:uid="{A0DFE7C9-B1C0-4EB2-A882-3038974FD9EE}" keepAlive="1" name="Connection102" type="5" refreshedVersion="8" background="1" saveData="1">
    <dbPr connection="Provider=Microsoft.Mashup.OleDb.1;Data Source=$Workbook$;Location=&quot;Timeline 1&quot;;Extended Properties=&quot;&quot;" command="SELECT * FROM [Timeline 1]" commandType="4"/>
  </connection>
  <connection id="7" xr16:uid="{AF9F36B5-EF4B-4B35-B56D-7F71E47681DD}" keepAlive="1" name="Connection103" type="5" refreshedVersion="8" background="1">
    <dbPr connection="Provider=Microsoft.Mashup.OleDb.1;Data Source=$Workbook$;Location=&quot;Timeline 1&quot;;Extended Properties=&quot;&quot;" command="SELECT * FROM [Timeline 1]" commandType="4"/>
  </connection>
  <connection id="8" xr16:uid="{7B24248D-8E9D-4188-A9ED-4EA1B7B48986}" keepAlive="1" name="Connection104" type="5" refreshedVersion="8" background="1" saveData="1">
    <dbPr connection="Provider=Microsoft.Mashup.OleDb.1;Data Source=$Workbook$;Location=&quot;Timeline 1&quot;;Extended Properties=&quot;&quot;" command="SELECT * FROM [Timeline 1]" commandType="4"/>
  </connection>
  <connection id="9" xr16:uid="{1220CD65-5D09-4B74-BB44-D66BC282446C}" keepAlive="1" name="Connection105" type="5" refreshedVersion="8" background="1" saveData="1">
    <dbPr connection="Provider=Microsoft.Mashup.OleDb.1;Data Source=$Workbook$;Location=&quot;Timeline 1&quot;;Extended Properties=&quot;&quot;" command="SELECT * FROM [Timeline 1]" commandType="4"/>
  </connection>
  <connection id="10" xr16:uid="{F2E71BAD-6F13-44DF-AD6F-F34EDB5D2297}" keepAlive="1" name="Connection106" type="5" refreshedVersion="8" background="1" saveData="1">
    <dbPr connection="Provider=Microsoft.Mashup.OleDb.1;Data Source=$Workbook$;Location=&quot;Timeline 1&quot;;Extended Properties=&quot;&quot;" command="SELECT * FROM [Timeline 1]" commandType="4"/>
  </connection>
  <connection id="11" xr16:uid="{53852651-6B63-4F5A-8BF2-41C05F7A8BEA}" keepAlive="1" name="Connection107" type="5" refreshedVersion="8" background="1" saveData="1">
    <dbPr connection="Provider=Microsoft.Mashup.OleDb.1;Data Source=$Workbook$;Location=&quot;Timeline 1&quot;;Extended Properties=&quot;&quot;" command="SELECT * FROM [Timeline 1]" commandType="4"/>
  </connection>
  <connection id="12" xr16:uid="{F0FF60E6-D5F7-4E85-9FC2-96106A49F4CE}" keepAlive="1" name="Connection108" type="5" refreshedVersion="8" background="1" saveData="1">
    <dbPr connection="Provider=Microsoft.Mashup.OleDb.1;Data Source=$Workbook$;Location=&quot;Timeline 1&quot;;Extended Properties=&quot;&quot;" command="SELECT * FROM [Timeline 1]" commandType="4"/>
  </connection>
  <connection id="13" xr16:uid="{032EE424-7848-44F0-B05A-F229663B4F57}" keepAlive="1" name="Connection109" type="5" refreshedVersion="8" background="1">
    <dbPr connection="Provider=Microsoft.Mashup.OleDb.1;Data Source=$Workbook$;Location=&quot;Timeline 1&quot;;Extended Properties=&quot;&quot;" command="SELECT * FROM [Timeline 1]" commandType="4"/>
  </connection>
  <connection id="14" xr16:uid="{DF60C0C7-E725-430A-8233-03CC003CEEA1}" keepAlive="1" name="Connection11" type="5" refreshedVersion="0" background="1">
    <dbPr connection="Provider=Microsoft.Mashup.OleDb.1;Data Source=$Workbook$;Location=Timeline 1" commandType="0"/>
  </connection>
  <connection id="15" xr16:uid="{BA9B5886-1A75-4174-AEB7-3C8E20D2C627}" keepAlive="1" name="Connection110" type="5" refreshedVersion="8" background="1" saveData="1">
    <dbPr connection="Provider=Microsoft.Mashup.OleDb.1;Data Source=$Workbook$;Location=&quot;Timeline 1&quot;;Extended Properties=&quot;&quot;" command="SELECT * FROM [Timeline 1]" commandType="4"/>
  </connection>
  <connection id="16" xr16:uid="{95795947-0D31-4D0C-96B6-0E9E635ADD69}" keepAlive="1" name="Connection111" type="5" refreshedVersion="8" background="1" saveData="1">
    <dbPr connection="Provider=Microsoft.Mashup.OleDb.1;Data Source=$Workbook$;Location=&quot;Timeline 1&quot;;Extended Properties=&quot;&quot;" command="SELECT * FROM [Timeline 1]" commandType="4"/>
  </connection>
  <connection id="17" xr16:uid="{88FF62E2-288F-4E03-8ACE-C4B21C34AFB9}" keepAlive="1" name="Connection112" type="5" refreshedVersion="0" background="1">
    <dbPr connection="Provider=Microsoft.Mashup.OleDb.1;Data Source=$Workbook$;Location=Timeline 1" commandType="0"/>
  </connection>
  <connection id="18" xr16:uid="{427532E8-8AF0-4E2F-B3C8-060A3DB3CDDB}" keepAlive="1" name="Connection113" type="5" refreshedVersion="0" background="1">
    <dbPr connection="Provider=Microsoft.Mashup.OleDb.1;Data Source=$Workbook$;Location=Timeline 1" commandType="0"/>
  </connection>
  <connection id="19" xr16:uid="{B4CBF30C-3576-4D1D-BC9B-BB5A3C8C6383}" keepAlive="1" name="Connection114" type="5" refreshedVersion="0" background="1">
    <dbPr connection="Provider=Microsoft.Mashup.OleDb.1;Data Source=$Workbook$;Location=Timeline 1" commandType="0"/>
  </connection>
  <connection id="20" xr16:uid="{54C58A52-661C-4F2D-9C8F-57C0E16BD2C2}" keepAlive="1" name="Connection115" type="5" refreshedVersion="0" background="1">
    <dbPr connection="Provider=Microsoft.Mashup.OleDb.1;Data Source=$Workbook$;Location=Timeline 1" commandType="0"/>
  </connection>
  <connection id="21" xr16:uid="{4FE39833-D522-48D5-B724-652443A70721}" keepAlive="1" name="Connection116" type="5" refreshedVersion="0" background="1">
    <dbPr connection="Provider=Microsoft.Mashup.OleDb.1;Data Source=$Workbook$;Location=Timeline 1" commandType="0"/>
  </connection>
  <connection id="22" xr16:uid="{BDD5A1F0-2B9E-450F-94AE-B6CDB729E1E1}" keepAlive="1" name="Connection117" type="5" refreshedVersion="0" background="1">
    <dbPr connection="Provider=Microsoft.Mashup.OleDb.1;Data Source=$Workbook$;Location=Timeline 1" commandType="0"/>
  </connection>
  <connection id="23" xr16:uid="{8F16E2B2-6287-477D-99B1-36319A0168FD}" keepAlive="1" name="Connection118" type="5" refreshedVersion="0" background="1">
    <dbPr connection="Provider=Microsoft.Mashup.OleDb.1;Data Source=$Workbook$;Location=Timeline 1" commandType="0"/>
  </connection>
  <connection id="24" xr16:uid="{A949AB13-507C-4FBC-8D25-850CF8DFDBDD}" keepAlive="1" name="Connection119" type="5" refreshedVersion="0" background="1">
    <dbPr connection="Provider=Microsoft.Mashup.OleDb.1;Data Source=$Workbook$;Location=Timeline 1" commandType="0"/>
  </connection>
  <connection id="25" xr16:uid="{6BEF41B3-9F76-4436-9AB3-A48D3A3B8917}" keepAlive="1" name="Connection12" type="5" refreshedVersion="0" background="1">
    <dbPr connection="Provider=Microsoft.Mashup.OleDb.1;Data Source=$Workbook$;Location=Timeline 1" commandType="0"/>
  </connection>
  <connection id="26" xr16:uid="{D5D81408-DE50-41DD-8B46-379C103A69A0}" keepAlive="1" name="Connection120" type="5" refreshedVersion="0" background="1">
    <dbPr connection="Provider=Microsoft.Mashup.OleDb.1;Data Source=$Workbook$;Location=Timeline 1" commandType="0"/>
  </connection>
  <connection id="27" xr16:uid="{122AB5FB-1D0C-4C06-8E14-99F7D001C967}" keepAlive="1" name="Connection121" type="5" refreshedVersion="0" background="1">
    <dbPr connection="Provider=Microsoft.Mashup.OleDb.1;Data Source=$Workbook$;Location=Timeline 1" commandType="0"/>
  </connection>
  <connection id="28" xr16:uid="{9D37469A-5CF7-4732-99DF-FBBDCD3647EA}" keepAlive="1" name="Connection122" type="5" refreshedVersion="0" background="1">
    <dbPr connection="Provider=Microsoft.Mashup.OleDb.1;Data Source=$Workbook$;Location=Timeline 1" commandType="0"/>
  </connection>
  <connection id="29" xr16:uid="{4E6B8928-1920-4A29-AA21-B44568DD61CA}" keepAlive="1" name="Connection123" type="5" refreshedVersion="0" background="1">
    <dbPr connection="Provider=Microsoft.Mashup.OleDb.1;Data Source=$Workbook$;Location=Timeline 1" commandType="0"/>
  </connection>
  <connection id="30" xr16:uid="{E0885C71-F19B-42E4-B8E3-14D76F48A28C}" keepAlive="1" name="Connection124" type="5" refreshedVersion="0" background="1">
    <dbPr connection="Provider=Microsoft.Mashup.OleDb.1;Data Source=$Workbook$;Location=Timeline 1" commandType="0"/>
  </connection>
  <connection id="31" xr16:uid="{6DCDA386-E98A-47C4-87F2-CAF3C947275E}" keepAlive="1" name="Connection125" type="5" refreshedVersion="0" background="1">
    <dbPr connection="Provider=Microsoft.Mashup.OleDb.1;Data Source=$Workbook$;Location=Timeline 1" commandType="0"/>
  </connection>
  <connection id="32" xr16:uid="{325D148D-9B4D-4A99-9791-153FEDCDE7CB}" keepAlive="1" name="Connection126" type="5" refreshedVersion="0" background="1">
    <dbPr connection="Provider=Microsoft.Mashup.OleDb.1;Data Source=$Workbook$;Location=Timeline 1" commandType="0"/>
  </connection>
  <connection id="33" xr16:uid="{B37CB24E-9088-4D5B-B078-6D45D5FAF543}" keepAlive="1" name="Connection127" type="5" refreshedVersion="0" background="1">
    <dbPr connection="Provider=Microsoft.Mashup.OleDb.1;Data Source=$Workbook$;Location=Timeline 1" commandType="0"/>
  </connection>
  <connection id="34" xr16:uid="{B4C993E9-536E-41DE-A6C6-30518CF74B16}" keepAlive="1" name="Connection128" type="5" refreshedVersion="0" background="1">
    <dbPr connection="Provider=Microsoft.Mashup.OleDb.1;Data Source=$Workbook$;Location=Timeline 1" commandType="0"/>
  </connection>
  <connection id="35" xr16:uid="{4447553E-0F92-4EBF-B0EC-0B027DC49B6A}" keepAlive="1" name="Connection129" type="5" refreshedVersion="0" background="1" saveData="1">
    <dbPr connection="Provider=Microsoft.Mashup.OleDb.1;Data Source=$Workbook$;Location=&quot;Timeline 1&quot;;Extended Properties=&quot;&quot;" command="SELECT * FROM [Timeline 1]"/>
  </connection>
  <connection id="36" xr16:uid="{15F8BEBA-0B4A-4ED4-8357-82A6F0EACE61}" keepAlive="1" name="Connection13" type="5" refreshedVersion="0" background="1">
    <dbPr connection="Provider=Microsoft.Mashup.OleDb.1;Data Source=$Workbook$;Location=Timeline 1" commandType="0"/>
  </connection>
  <connection id="37" xr16:uid="{52961AEA-5F25-4FC2-BB7B-245591AFE94B}" keepAlive="1" name="Connection130" type="5" refreshedVersion="0" background="1" saveData="1">
    <dbPr connection="Provider=Microsoft.Mashup.OleDb.1;Data Source=$Workbook$;Location=&quot;Timeline 1&quot;;Extended Properties=&quot;&quot;" command="SELECT * FROM [Timeline 1]"/>
  </connection>
  <connection id="38" xr16:uid="{7CEA4669-063C-4EA5-92F6-F5CA587B7E84}" keepAlive="1" name="Connection131" type="5" refreshedVersion="0" background="1" saveData="1">
    <dbPr connection="Provider=Microsoft.Mashup.OleDb.1;Data Source=$Workbook$;Location=&quot;Timeline 1&quot;;Extended Properties=&quot;&quot;" command="SELECT * FROM [Timeline 1]"/>
  </connection>
  <connection id="39" xr16:uid="{03323610-FD41-4CFE-96F7-83B99E8B40D2}" keepAlive="1" name="Connection132" type="5" refreshedVersion="0" background="1" saveData="1">
    <dbPr connection="Provider=Microsoft.Mashup.OleDb.1;Data Source=$Workbook$;Location=&quot;Timeline 1&quot;;Extended Properties=&quot;&quot;" command="SELECT * FROM [Timeline 1]"/>
  </connection>
  <connection id="40" xr16:uid="{8AB7AAC4-3451-4E36-985D-36449DBE5146}" keepAlive="1" name="Connection133" type="5" refreshedVersion="0" saveData="1">
    <dbPr connection="Provider=Microsoft.Mashup.OleDb.1;Data Source=$Workbook$;Location=&quot;Timeline 1&quot;;Extended Properties=&quot;&quot;" command="SELECT * FROM [Timeline 1]"/>
  </connection>
  <connection id="41" xr16:uid="{974E2109-1B17-40D5-AA4D-C23F994D8C45}" keepAlive="1" name="Connection134" type="5" refreshedVersion="0" saveData="1">
    <dbPr connection="Provider=Microsoft.Mashup.OleDb.1;Data Source=$Workbook$;Location=&quot;Timeline 1&quot;;Extended Properties=&quot;&quot;" command="SELECT * FROM [Timeline 1]"/>
  </connection>
  <connection id="42" xr16:uid="{F8112F0A-7413-4F07-8AA7-72D1E17A9799}" keepAlive="1" name="Connection14" type="5" refreshedVersion="0" background="1">
    <dbPr connection="Provider=Microsoft.Mashup.OleDb.1;Data Source=$Workbook$;Location=Timeline 1" commandType="0"/>
  </connection>
  <connection id="43" xr16:uid="{BC3C04DD-9F85-46E3-9D3B-532E3BA1036E}" keepAlive="1" name="Connection15" type="5" refreshedVersion="0" background="1">
    <dbPr connection="Provider=Microsoft.Mashup.OleDb.1;Data Source=$Workbook$;Location=Timeline 1" commandType="0"/>
  </connection>
  <connection id="44" xr16:uid="{E4E572F9-3FA4-4F76-95FD-5E1658640E4C}" keepAlive="1" name="Connection16" type="5" refreshedVersion="0" background="1">
    <dbPr connection="Provider=Microsoft.Mashup.OleDb.1;Data Source=$Workbook$;Location=Timeline 1" commandType="0"/>
  </connection>
  <connection id="45" xr16:uid="{3FFACA6A-4823-4BB4-9A97-2CA3D536BBBF}" keepAlive="1" name="Connection17" type="5" refreshedVersion="0" background="1">
    <dbPr connection="Provider=Microsoft.Mashup.OleDb.1;Data Source=$Workbook$;Location=Timeline 1" commandType="0"/>
  </connection>
  <connection id="46" xr16:uid="{3F373ABB-03C9-492F-948C-E968660BA50B}" keepAlive="1" name="Connection18" type="5" refreshedVersion="0" background="1">
    <dbPr connection="Provider=Microsoft.Mashup.OleDb.1;Data Source=$Workbook$;Location=Timeline 1" commandType="0"/>
  </connection>
  <connection id="47" xr16:uid="{932DA25E-CB22-463B-9082-F75939C47743}" keepAlive="1" name="Connection19" type="5" refreshedVersion="0" background="1">
    <dbPr connection="Provider=Microsoft.Mashup.OleDb.1;Data Source=$Workbook$;Location=Timeline 1" commandType="0"/>
  </connection>
  <connection id="48" xr16:uid="{0CCA5C9E-2585-4340-86A7-CAD1A4C89A5C}" keepAlive="1" name="Connection2" type="5" refreshedVersion="0" background="1">
    <dbPr connection="Provider=Microsoft.Mashup.OleDb.1;Data Source=$Workbook$;Location=Timeline 1" commandType="0"/>
  </connection>
  <connection id="49" xr16:uid="{8DF6B3FE-6553-48C5-AB82-6C19AE57D159}" keepAlive="1" name="Connection20" type="5" refreshedVersion="0" background="1">
    <dbPr connection="Provider=Microsoft.Mashup.OleDb.1;Data Source=$Workbook$;Location=Timeline 1" commandType="0"/>
  </connection>
  <connection id="50" xr16:uid="{C72ABBD5-389E-4FF4-8B5A-0D10AC7A4D88}" keepAlive="1" name="Connection21" type="5" refreshedVersion="0" background="1">
    <dbPr connection="Provider=Microsoft.Mashup.OleDb.1;Data Source=$Workbook$;Location=Timeline 1" commandType="0"/>
  </connection>
  <connection id="51" xr16:uid="{2A349D08-AE6C-4360-93C6-0AC59E9AD069}" keepAlive="1" name="Connection22" type="5" refreshedVersion="8" background="1" saveData="1">
    <dbPr connection="Provider=Microsoft.Mashup.OleDb.1;Data Source=$Workbook$;Location=&quot;Timeline 1&quot;;Extended Properties=&quot;&quot;" command="SELECT * FROM [Timeline 1]" commandType="4"/>
  </connection>
  <connection id="52" xr16:uid="{A3BEDD92-A95C-46F9-B67A-535EE8C39C4E}" keepAlive="1" name="Connection23" type="5" refreshedVersion="8" saveData="1">
    <dbPr connection="Provider=Microsoft.Mashup.OleDb.1;Data Source=$Workbook$;Location=&quot;Timeline 1&quot;;Extended Properties=&quot;&quot;" command="SELECT * FROM [Timeline 1]" commandType="4"/>
  </connection>
  <connection id="53" xr16:uid="{EA6519FB-081F-47BE-A6C6-2939211E3E2B}" keepAlive="1" name="Connection24" type="5" refreshedVersion="8" saveData="1">
    <dbPr connection="Provider=Microsoft.Mashup.OleDb.1;Data Source=$Workbook$;Location=&quot;Timeline 1&quot;;Extended Properties=&quot;&quot;" command="SELECT * FROM [Timeline 1]" commandType="4"/>
  </connection>
  <connection id="54" xr16:uid="{64166C79-032E-4CBF-BC25-EEB50B4CFF17}" keepAlive="1" name="Connection25" type="5" refreshedVersion="0" background="1">
    <dbPr connection="Provider=Microsoft.Mashup.OleDb.1;Data Source=$Workbook$;Location=Timeline 1" commandType="0"/>
  </connection>
  <connection id="55" xr16:uid="{D3CDBFEF-810A-47E6-88E4-5A7886CE235E}" keepAlive="1" name="Connection26" type="5" refreshedVersion="8" background="1" saveData="1">
    <dbPr connection="Provider=Microsoft.Mashup.OleDb.1;Data Source=$Workbook$;Location=&quot;Timeline 1&quot;;Extended Properties=&quot;&quot;" command="SELECT * FROM [Timeline 1]" commandType="4"/>
  </connection>
  <connection id="56" xr16:uid="{EF4F9112-2E92-4AC9-8126-C06BFC0BF13E}" keepAlive="1" name="Connection27" type="5" refreshedVersion="0" saveData="1">
    <dbPr connection="Provider=Microsoft.Mashup.OleDb.1;Data Source=$Workbook$;Location=&quot;Timeline 1&quot;;Extended Properties=&quot;&quot;" command="SELECT * FROM [Timeline 1]" commandType="4"/>
  </connection>
  <connection id="57" xr16:uid="{2F9E7304-C7BE-4710-8A66-F6FD0CEA2F42}" keepAlive="1" name="Connection28" type="5" refreshedVersion="0" saveData="1">
    <dbPr connection="Provider=Microsoft.Mashup.OleDb.1;Data Source=$Workbook$;Location=&quot;Timeline 1&quot;;Extended Properties=&quot;&quot;" command="SELECT * FROM [Timeline 1]" commandType="4"/>
  </connection>
  <connection id="58" xr16:uid="{D784350B-E089-4FAB-AF7D-DAAE03DEC624}" keepAlive="1" name="Connection29" type="5" refreshedVersion="8" saveData="1">
    <dbPr connection="Provider=Microsoft.Mashup.OleDb.1;Data Source=$Workbook$;Location=&quot;Timeline 1&quot;;Extended Properties=&quot;&quot;" command="SELECT * FROM [Timeline 1]" commandType="4"/>
  </connection>
  <connection id="59" xr16:uid="{678A03E3-AB3E-4E63-AA8B-206B6E54AA01}" keepAlive="1" name="Connection3" type="5" refreshedVersion="0" background="1">
    <dbPr connection="Provider=Microsoft.Mashup.OleDb.1;Data Source=$Workbook$;Location=Timeline 1" commandType="0"/>
  </connection>
  <connection id="60" xr16:uid="{CB208F3A-386E-4D22-A6EF-FC7F426E4D85}" keepAlive="1" name="Connection30" type="5" refreshedVersion="0" saveData="1">
    <dbPr connection="Provider=Microsoft.Mashup.OleDb.1;Data Source=$Workbook$;Location=&quot;Timeline 1&quot;;Extended Properties=&quot;&quot;" command="SELECT * FROM [Timeline 1]" commandType="4"/>
  </connection>
  <connection id="61" xr16:uid="{E19F6B15-88E7-4FF8-9F61-D3DA1C4102BF}" keepAlive="1" name="Connection31" type="5" refreshedVersion="0" saveData="1">
    <dbPr connection="Provider=Microsoft.Mashup.OleDb.1;Data Source=$Workbook$;Location=&quot;Timeline 1&quot;;Extended Properties=&quot;&quot;" command="SELECT * FROM [Timeline 1]" commandType="4"/>
  </connection>
  <connection id="62" xr16:uid="{1227DED6-F827-4C8E-B564-1248F7250CCF}" keepAlive="1" name="Connection32" type="5" refreshedVersion="0" saveData="1">
    <dbPr connection="Provider=Microsoft.Mashup.OleDb.1;Data Source=$Workbook$;Location=&quot;Timeline 1&quot;;Extended Properties=&quot;&quot;" command="SELECT * FROM [Timeline 1]" commandType="4"/>
  </connection>
  <connection id="63" xr16:uid="{9FA683D6-EB43-4ACA-978D-17C9C1D9199E}" keepAlive="1" name="Connection33" type="5" refreshedVersion="8" saveData="1">
    <dbPr connection="Provider=Microsoft.Mashup.OleDb.1;Data Source=$Workbook$;Location=&quot;Timeline 1&quot;;Extended Properties=&quot;&quot;" command="SELECT * FROM [Timeline 1]" commandType="4"/>
  </connection>
  <connection id="64" xr16:uid="{91C16F62-85A3-4267-A1B2-41C5BF320B47}" keepAlive="1" name="Connection34" type="5" refreshedVersion="8" saveData="1">
    <dbPr connection="Provider=Microsoft.Mashup.OleDb.1;Data Source=$Workbook$;Location=&quot;Timeline 1&quot;;Extended Properties=&quot;&quot;" command="SELECT * FROM [Timeline 1]" commandType="4"/>
  </connection>
  <connection id="65" xr16:uid="{5B42AFDA-5C7E-4CAE-8358-1C571BA5377D}" keepAlive="1" name="Connection35" type="5" refreshedVersion="0" saveData="1">
    <dbPr connection="Provider=Microsoft.Mashup.OleDb.1;Data Source=$Workbook$;Location=&quot;Timeline 1&quot;;Extended Properties=&quot;&quot;" command="SELECT * FROM [Timeline 1]" commandType="4"/>
  </connection>
  <connection id="66" xr16:uid="{B7A32257-AAF6-440F-905C-A5A0B17FDFB2}" keepAlive="1" name="Connection36" type="5" refreshedVersion="8" saveData="1">
    <dbPr connection="Provider=Microsoft.Mashup.OleDb.1;Data Source=$Workbook$;Location=&quot;Timeline 1&quot;;Extended Properties=&quot;&quot;" command="SELECT * FROM [Timeline 1]" commandType="4"/>
  </connection>
  <connection id="67" xr16:uid="{073C6742-0D4E-4E88-8F6F-98F2E096F112}" keepAlive="1" name="Connection37" type="5" refreshedVersion="8" background="1" saveData="1">
    <dbPr connection="Provider=Microsoft.Mashup.OleDb.1;Data Source=$Workbook$;Location=&quot;Timeline 1&quot;;Extended Properties=&quot;&quot;" command="SELECT * FROM [Timeline 1]" commandType="4"/>
  </connection>
  <connection id="68" xr16:uid="{D67CF898-C618-43F5-AC65-30D46F6278C5}" keepAlive="1" name="Connection38" type="5" refreshedVersion="8" saveData="1">
    <dbPr connection="Provider=Microsoft.Mashup.OleDb.1;Data Source=$Workbook$;Location=&quot;Timeline 1&quot;;Extended Properties=&quot;&quot;" command="SELECT * FROM [Timeline 1]" commandType="4"/>
  </connection>
  <connection id="69" xr16:uid="{CC0F47EB-21D0-4FBD-98E4-5EC8EDA9156F}" keepAlive="1" name="Connection39" type="5" refreshedVersion="8" saveData="1">
    <dbPr connection="Provider=Microsoft.Mashup.OleDb.1;Data Source=$Workbook$;Location=&quot;Timeline 1&quot;;Extended Properties=&quot;&quot;" command="SELECT * FROM [Timeline 1]" commandType="4"/>
  </connection>
  <connection id="70" xr16:uid="{061F5C94-C049-425E-862C-0524E48E9B88}" keepAlive="1" name="Connection4" type="5" refreshedVersion="0" background="1">
    <dbPr connection="Provider=Microsoft.Mashup.OleDb.1;Data Source=$Workbook$;Location=Timeline 1" commandType="0"/>
  </connection>
  <connection id="71" xr16:uid="{56D959F8-0643-4748-B831-64FCA139EA09}" keepAlive="1" name="Connection40" type="5" refreshedVersion="0" saveData="1">
    <dbPr connection="Provider=Microsoft.Mashup.OleDb.1;Data Source=$Workbook$;Location=&quot;Timeline 1&quot;;Extended Properties=&quot;&quot;" command="SELECT * FROM [Timeline 1]" commandType="4"/>
  </connection>
  <connection id="72" xr16:uid="{AAF54112-BA8E-4D6A-A739-E94A1C0701BF}" keepAlive="1" name="Connection41" type="5" refreshedVersion="0" saveData="1">
    <dbPr connection="Provider=Microsoft.Mashup.OleDb.1;Data Source=$Workbook$;Location=&quot;Timeline 1&quot;;Extended Properties=&quot;&quot;" command="SELECT * FROM [Timeline 1]" commandType="4"/>
  </connection>
  <connection id="73" xr16:uid="{70BD536C-2B45-4879-A944-FED6FF9A5B57}" keepAlive="1" name="Connection42" type="5" refreshedVersion="0" background="1" saveData="1">
    <dbPr connection="Provider=Microsoft.Mashup.OleDb.1;Data Source=$Workbook$;Location=&quot;Timeline 1&quot;;Extended Properties=&quot;&quot;" command="SELECT * FROM [Timeline 1]" commandType="4"/>
  </connection>
  <connection id="74" xr16:uid="{F10B34B5-DEE4-41E3-911B-C278F164666B}" keepAlive="1" name="Connection43" type="5" refreshedVersion="0" saveData="1">
    <dbPr connection="Provider=Microsoft.Mashup.OleDb.1;Data Source=$Workbook$;Location=&quot;Timeline 1&quot;;Extended Properties=&quot;&quot;" command="SELECT * FROM [Timeline 1]" commandType="4"/>
  </connection>
  <connection id="75" xr16:uid="{36A8B52E-D410-4EF2-A761-82BFCB5AABB0}" keepAlive="1" name="Connection44" type="5" refreshedVersion="0" saveData="1">
    <dbPr connection="Provider=Microsoft.Mashup.OleDb.1;Data Source=$Workbook$;Location=&quot;Timeline 1&quot;;Extended Properties=&quot;&quot;" command="SELECT * FROM [Timeline 1]" commandType="4"/>
  </connection>
  <connection id="76" xr16:uid="{BDFEF293-06E9-4EB6-9A82-63C147F495A0}" keepAlive="1" name="Connection45" type="5" refreshedVersion="8" saveData="1">
    <dbPr connection="Provider=Microsoft.Mashup.OleDb.1;Data Source=$Workbook$;Location=&quot;Timeline 1&quot;;Extended Properties=&quot;&quot;" command="SELECT * FROM [Timeline 1]" commandType="4"/>
  </connection>
  <connection id="77" xr16:uid="{D6B3A4F8-D545-4C7B-A272-775FF2E88894}" keepAlive="1" name="Connection46" type="5" refreshedVersion="8" background="1" saveData="1">
    <dbPr connection="Provider=Microsoft.Mashup.OleDb.1;Data Source=$Workbook$;Location=&quot;Timeline 1&quot;;Extended Properties=&quot;&quot;" command="SELECT * FROM [Timeline 1]" commandType="4"/>
  </connection>
  <connection id="78" xr16:uid="{9429153E-47CC-4BC0-A90A-F827E6BB486B}" keepAlive="1" name="Connection47" type="5" refreshedVersion="8" background="1" saveData="1">
    <dbPr connection="Provider=Microsoft.Mashup.OleDb.1;Data Source=$Workbook$;Location=&quot;Timeline 1&quot;;Extended Properties=&quot;&quot;" command="SELECT * FROM [Timeline 1]" commandType="4"/>
  </connection>
  <connection id="79" xr16:uid="{A6A8A59A-0944-4FFA-A512-B5D7121A8512}" keepAlive="1" name="Connection48" type="5" refreshedVersion="8" saveData="1">
    <dbPr connection="Provider=Microsoft.Mashup.OleDb.1;Data Source=$Workbook$;Location=&quot;Timeline 1&quot;;Extended Properties=&quot;&quot;" command="SELECT * FROM [Timeline 1]" commandType="4"/>
  </connection>
  <connection id="80" xr16:uid="{CF5142C3-2D97-40F1-8E97-88756A7BA25B}" keepAlive="1" name="Connection49" type="5" refreshedVersion="8" background="1" saveData="1">
    <dbPr connection="Provider=Microsoft.Mashup.OleDb.1;Data Source=$Workbook$;Location=&quot;Timeline 1&quot;;Extended Properties=&quot;&quot;" command="SELECT * FROM [Timeline 1]" commandType="4"/>
  </connection>
  <connection id="81" xr16:uid="{8432F87B-5F27-4E34-8D03-83C80CD694AC}" keepAlive="1" name="Connection5" type="5" refreshedVersion="0" background="1" saveData="1">
    <dbPr connection="Provider=Microsoft.Mashup.OleDb.1;Data Source=$Workbook$;Location=&quot;Timeline 1&quot;;Extended Properties=&quot;&quot;" command="SELECT * FROM [Timeline 1]" commandType="4"/>
  </connection>
  <connection id="82" xr16:uid="{20D942FC-4CDE-41CC-BC32-6642D0FA83F7}" keepAlive="1" name="Connection50" type="5" refreshedVersion="8" background="1" saveData="1">
    <dbPr connection="Provider=Microsoft.Mashup.OleDb.1;Data Source=$Workbook$;Location=&quot;Timeline 1&quot;;Extended Properties=&quot;&quot;" command="SELECT * FROM [Timeline 1]" commandType="4"/>
  </connection>
  <connection id="83" xr16:uid="{D37E5052-AF62-464D-8F29-B541420C8A89}" keepAlive="1" name="Connection51" type="5" refreshedVersion="8" saveData="1">
    <dbPr connection="Provider=Microsoft.Mashup.OleDb.1;Data Source=$Workbook$;Location=&quot;Timeline 1&quot;;Extended Properties=&quot;&quot;" command="SELECT * FROM [Timeline 1]" commandType="4"/>
  </connection>
  <connection id="84" xr16:uid="{84318475-B526-4156-897A-8B5132F73AA3}" keepAlive="1" name="Connection52" type="5" refreshedVersion="8" saveData="1">
    <dbPr connection="Provider=Microsoft.Mashup.OleDb.1;Data Source=$Workbook$;Location=&quot;Timeline 1&quot;;Extended Properties=&quot;&quot;" command="SELECT * FROM [Timeline 1]" commandType="4"/>
  </connection>
  <connection id="85" xr16:uid="{86C25CB9-D26D-4511-9F03-48A378600D67}" keepAlive="1" name="Connection53" type="5" refreshedVersion="8" background="1" saveData="1">
    <dbPr connection="Provider=Microsoft.Mashup.OleDb.1;Data Source=$Workbook$;Location=&quot;Timeline 1&quot;;Extended Properties=&quot;&quot;" command="SELECT * FROM [Timeline 1]" commandType="4"/>
  </connection>
  <connection id="86" xr16:uid="{6EB59253-7CB5-405D-AF0C-C2710AF13BFE}" keepAlive="1" name="Connection54" type="5" refreshedVersion="8" background="1" saveData="1">
    <dbPr connection="Provider=Microsoft.Mashup.OleDb.1;Data Source=$Workbook$;Location=&quot;Timeline 1&quot;;Extended Properties=&quot;&quot;" command="SELECT * FROM [Timeline 1]" commandType="4"/>
  </connection>
  <connection id="87" xr16:uid="{6D38F3CC-F269-4130-87E5-6445835AEF38}" keepAlive="1" name="Connection55" type="5" refreshedVersion="8" background="1" saveData="1">
    <dbPr connection="Provider=Microsoft.Mashup.OleDb.1;Data Source=$Workbook$;Location=&quot;Timeline 1&quot;;Extended Properties=&quot;&quot;" command="SELECT * FROM [Timeline 1]" commandType="4"/>
  </connection>
  <connection id="88" xr16:uid="{AC596500-14A8-4CA8-81DF-98569ED4A251}" keepAlive="1" name="Connection56" type="5" refreshedVersion="8" saveData="1">
    <dbPr connection="Provider=Microsoft.Mashup.OleDb.1;Data Source=$Workbook$;Location=&quot;Timeline 1&quot;;Extended Properties=&quot;&quot;" command="SELECT * FROM [Timeline 1]" commandType="4"/>
  </connection>
  <connection id="89" xr16:uid="{489EF77B-0859-4B75-B42A-C89D6A0F5F34}" keepAlive="1" name="Connection57" type="5" refreshedVersion="8" saveData="1">
    <dbPr connection="Provider=Microsoft.Mashup.OleDb.1;Data Source=$Workbook$;Location=&quot;Timeline 1&quot;;Extended Properties=&quot;&quot;" command="SELECT * FROM [Timeline 1]" commandType="4"/>
  </connection>
  <connection id="90" xr16:uid="{1B20DCAD-4F43-4AD3-BF25-BDD1E0481830}" keepAlive="1" name="Connection58" type="5" refreshedVersion="8" saveData="1">
    <dbPr connection="Provider=Microsoft.Mashup.OleDb.1;Data Source=$Workbook$;Location=&quot;Timeline 1&quot;;Extended Properties=&quot;&quot;" command="SELECT * FROM [Timeline 1]" commandType="4"/>
  </connection>
  <connection id="91" xr16:uid="{C5A130AA-29BC-41A5-AC9F-D62578EB2223}" keepAlive="1" name="Connection59" type="5" refreshedVersion="8" saveData="1">
    <dbPr connection="Provider=Microsoft.Mashup.OleDb.1;Data Source=$Workbook$;Location=&quot;Timeline 1&quot;;Extended Properties=&quot;&quot;" command="SELECT * FROM [Timeline 1]" commandType="4"/>
  </connection>
  <connection id="92" xr16:uid="{508BF8CF-EF4F-46E8-8A9C-14C431527452}" keepAlive="1" name="Connection6" type="5" refreshedVersion="0" background="1">
    <dbPr connection="Provider=Microsoft.Mashup.OleDb.1;Data Source=$Workbook$;Location=Timeline 1" commandType="0"/>
  </connection>
  <connection id="93" xr16:uid="{B53D8BB4-6A8C-4A9E-9BE6-17FC3639F139}" keepAlive="1" name="Connection60" type="5" refreshedVersion="8" saveData="1">
    <dbPr connection="Provider=Microsoft.Mashup.OleDb.1;Data Source=$Workbook$;Location=&quot;Timeline 1&quot;;Extended Properties=&quot;&quot;" command="SELECT * FROM [Timeline 1]" commandType="4"/>
  </connection>
  <connection id="94" xr16:uid="{09F9FC5D-4B19-412C-83D9-F0FF2A31A729}" keepAlive="1" name="Connection61" type="5" refreshedVersion="8" background="1" saveData="1">
    <dbPr connection="Provider=Microsoft.Mashup.OleDb.1;Data Source=$Workbook$;Location=&quot;Timeline 1&quot;;Extended Properties=&quot;&quot;" command="SELECT * FROM [Timeline 1]" commandType="4"/>
  </connection>
  <connection id="95" xr16:uid="{85F14B29-A8D8-47EA-BE4A-C4A8ECF8D75F}" keepAlive="1" name="Connection62" type="5" refreshedVersion="8" saveData="1">
    <dbPr connection="Provider=Microsoft.Mashup.OleDb.1;Data Source=$Workbook$;Location=&quot;Timeline 1&quot;;Extended Properties=&quot;&quot;" command="SELECT * FROM [Timeline 1]" commandType="4"/>
  </connection>
  <connection id="96" xr16:uid="{557DD0B5-A684-4187-A4EB-FC91F4820F57}" keepAlive="1" name="Connection63" type="5" refreshedVersion="8" background="1" saveData="1">
    <dbPr connection="Provider=Microsoft.Mashup.OleDb.1;Data Source=$Workbook$;Location=&quot;Timeline 1&quot;;Extended Properties=&quot;&quot;" command="SELECT * FROM [Timeline 1]" commandType="4"/>
  </connection>
  <connection id="97" xr16:uid="{5C2308A9-41ED-4EC2-AA60-B85C03553A09}" keepAlive="1" name="Connection64" type="5" refreshedVersion="8" background="1" saveData="1">
    <dbPr connection="Provider=Microsoft.Mashup.OleDb.1;Data Source=$Workbook$;Location=&quot;Timeline 1&quot;;Extended Properties=&quot;&quot;" command="SELECT * FROM [Timeline 1]" commandType="4"/>
  </connection>
  <connection id="98" xr16:uid="{4925B388-4247-4983-A15B-A4996945593E}" keepAlive="1" name="Connection65" type="5" refreshedVersion="8" background="1" saveData="1">
    <dbPr connection="Provider=Microsoft.Mashup.OleDb.1;Data Source=$Workbook$;Location=&quot;Timeline 1&quot;;Extended Properties=&quot;&quot;" command="SELECT * FROM [Timeline 1]" commandType="4"/>
  </connection>
  <connection id="99" xr16:uid="{BAECB06C-8CA4-4946-93AD-02BC6600A795}" keepAlive="1" name="Connection66" type="5" refreshedVersion="8" background="1" saveData="1">
    <dbPr connection="Provider=Microsoft.Mashup.OleDb.1;Data Source=$Workbook$;Location=&quot;Timeline 1&quot;;Extended Properties=&quot;&quot;" command="SELECT * FROM [Timeline 1]" commandType="4"/>
  </connection>
  <connection id="100" xr16:uid="{DE69F58A-5EA5-48F9-BEB6-909104FDCBEF}" keepAlive="1" name="Connection67" type="5" refreshedVersion="8" background="1" saveData="1">
    <dbPr connection="Provider=Microsoft.Mashup.OleDb.1;Data Source=$Workbook$;Location=&quot;Timeline 1&quot;;Extended Properties=&quot;&quot;" command="SELECT * FROM [Timeline 1]" commandType="4"/>
  </connection>
  <connection id="101" xr16:uid="{CFCDA4F7-D96B-4B3F-81AA-72963F8B9976}" keepAlive="1" name="Connection68" type="5" refreshedVersion="8" background="1" saveData="1">
    <dbPr connection="Provider=Microsoft.Mashup.OleDb.1;Data Source=$Workbook$;Location=&quot;Timeline 1&quot;;Extended Properties=&quot;&quot;" command="SELECT * FROM [Timeline 1]" commandType="4"/>
  </connection>
  <connection id="102" xr16:uid="{5FEB35D5-A524-4A68-9112-D8BC8AA8C749}" keepAlive="1" name="Connection69" type="5" refreshedVersion="8" background="1" saveData="1">
    <dbPr connection="Provider=Microsoft.Mashup.OleDb.1;Data Source=$Workbook$;Location=&quot;Timeline 1&quot;;Extended Properties=&quot;&quot;" command="SELECT * FROM [Timeline 1]" commandType="4"/>
  </connection>
  <connection id="103" xr16:uid="{20D50365-1654-4BFD-AF8A-249C6C1305E1}" keepAlive="1" name="Connection7" type="5" refreshedVersion="0" background="1" saveData="1">
    <dbPr connection="Provider=Microsoft.Mashup.OleDb.1;Data Source=$Workbook$;Location=&quot;Timeline 1&quot;;Extended Properties=&quot;&quot;" command="SELECT * FROM [Timeline 1]" commandType="4"/>
  </connection>
  <connection id="104" xr16:uid="{D0FA8BEB-3A0A-4D4D-8C86-78396FC96A96}" keepAlive="1" name="Connection70" type="5" refreshedVersion="8" background="1" saveData="1">
    <dbPr connection="Provider=Microsoft.Mashup.OleDb.1;Data Source=$Workbook$;Location=&quot;Timeline 1&quot;;Extended Properties=&quot;&quot;" command="SELECT * FROM [Timeline 1]" commandType="4"/>
  </connection>
  <connection id="105" xr16:uid="{BD747796-6170-40C0-9B4C-B5B0D9CBE3F8}" keepAlive="1" name="Connection71" type="5" refreshedVersion="8" background="1">
    <dbPr connection="Provider=Microsoft.Mashup.OleDb.1;Data Source=$Workbook$;Location=&quot;Timeline 1&quot;;Extended Properties=&quot;&quot;" command="SELECT * FROM [Timeline 1]" commandType="4"/>
  </connection>
  <connection id="106" xr16:uid="{0A36DB42-95F8-4BF5-A15E-583E2702986C}" keepAlive="1" name="Connection72" type="5" refreshedVersion="8" background="1">
    <dbPr connection="Provider=Microsoft.Mashup.OleDb.1;Data Source=$Workbook$;Location=&quot;Timeline 1&quot;;Extended Properties=&quot;&quot;" command="SELECT * FROM [Timeline 1]" commandType="4"/>
  </connection>
  <connection id="107" xr16:uid="{A8848ED2-7DCF-4530-89AA-3562C27BC759}" keepAlive="1" name="Connection73" type="5" refreshedVersion="8" background="1" saveData="1">
    <dbPr connection="Provider=Microsoft.Mashup.OleDb.1;Data Source=$Workbook$;Location=&quot;Timeline 1&quot;;Extended Properties=&quot;&quot;" command="SELECT * FROM [Timeline 1]" commandType="4"/>
  </connection>
  <connection id="108" xr16:uid="{0D923621-F63E-4EC2-BA53-BA3AC4D91929}" keepAlive="1" name="Connection74" type="5" refreshedVersion="8" background="1" saveData="1">
    <dbPr connection="Provider=Microsoft.Mashup.OleDb.1;Data Source=$Workbook$;Location=&quot;Timeline 1&quot;;Extended Properties=&quot;&quot;" command="SELECT * FROM [Timeline 1]" commandType="4"/>
  </connection>
  <connection id="109" xr16:uid="{88E92CBE-76BD-4D6F-B16B-6E3847A3C394}" keepAlive="1" name="Connection75" type="5" refreshedVersion="8" background="1" saveData="1">
    <dbPr connection="Provider=Microsoft.Mashup.OleDb.1;Data Source=$Workbook$;Location=&quot;Timeline 1&quot;;Extended Properties=&quot;&quot;" command="SELECT * FROM [Timeline 1]" commandType="4"/>
  </connection>
  <connection id="110" xr16:uid="{C658AAE6-B804-4551-B930-9F022197CC39}" keepAlive="1" name="Connection76" type="5" refreshedVersion="8" background="1" saveData="1">
    <dbPr connection="Provider=Microsoft.Mashup.OleDb.1;Data Source=$Workbook$;Location=&quot;Timeline 1&quot;;Extended Properties=&quot;&quot;" command="SELECT * FROM [Timeline 1]" commandType="4"/>
  </connection>
  <connection id="111" xr16:uid="{DFE930B5-ADAB-4E69-A541-DA2631E73251}" keepAlive="1" name="Connection77" type="5" refreshedVersion="8" background="1" saveData="1">
    <dbPr connection="Provider=Microsoft.Mashup.OleDb.1;Data Source=$Workbook$;Location=&quot;Timeline 1&quot;;Extended Properties=&quot;&quot;" command="SELECT * FROM [Timeline 1]" commandType="4"/>
  </connection>
  <connection id="112" xr16:uid="{1509E584-A2DB-4CCC-8E11-5E4A90C17076}" keepAlive="1" name="Connection78" type="5" refreshedVersion="8" background="1" saveData="1">
    <dbPr connection="Provider=Microsoft.Mashup.OleDb.1;Data Source=$Workbook$;Location=&quot;Timeline 1&quot;;Extended Properties=&quot;&quot;" command="SELECT * FROM [Timeline 1]" commandType="4"/>
  </connection>
  <connection id="113" xr16:uid="{0E2AE63D-4613-498B-B1BA-026A22A97E0F}" keepAlive="1" name="Connection79" type="5" refreshedVersion="8" background="1" saveData="1">
    <dbPr connection="Provider=Microsoft.Mashup.OleDb.1;Data Source=$Workbook$;Location=&quot;Timeline 1&quot;;Extended Properties=&quot;&quot;" command="SELECT * FROM [Timeline 1]" commandType="4"/>
  </connection>
  <connection id="114" xr16:uid="{52EC18C5-F477-4634-A497-63436F133650}" keepAlive="1" name="Connection8" type="5" refreshedVersion="0" background="1">
    <dbPr connection="Provider=Microsoft.Mashup.OleDb.1;Data Source=$Workbook$;Location=Timeline 1" commandType="0"/>
  </connection>
  <connection id="115" xr16:uid="{6E5A1D5C-5A07-4BEE-B2FD-EA81013D9A80}" keepAlive="1" name="Connection80" type="5" refreshedVersion="8" background="1" saveData="1">
    <dbPr connection="Provider=Microsoft.Mashup.OleDb.1;Data Source=$Workbook$;Location=&quot;Timeline 1&quot;;Extended Properties=&quot;&quot;" command="SELECT * FROM [Timeline 1]" commandType="4"/>
  </connection>
  <connection id="116" xr16:uid="{005E26AC-EF60-4444-8B56-84A34C9CF1CC}" keepAlive="1" name="Connection81" type="5" refreshedVersion="8" background="1" saveData="1">
    <dbPr connection="Provider=Microsoft.Mashup.OleDb.1;Data Source=$Workbook$;Location=&quot;Timeline 1&quot;;Extended Properties=&quot;&quot;" command="SELECT * FROM [Timeline 1]" commandType="4"/>
  </connection>
  <connection id="117" xr16:uid="{84E18428-D759-41AE-ADEE-06A51EE865E4}" keepAlive="1" name="Connection82" type="5" refreshedVersion="8" background="1" saveData="1">
    <dbPr connection="Provider=Microsoft.Mashup.OleDb.1;Data Source=$Workbook$;Location=&quot;Timeline 1&quot;;Extended Properties=&quot;&quot;" command="SELECT * FROM [Timeline 1]" commandType="4"/>
  </connection>
  <connection id="118" xr16:uid="{05C511F1-3B75-4C6D-BDFB-A2DF613186DC}" keepAlive="1" name="Connection83" type="5" refreshedVersion="8" background="1">
    <dbPr connection="Provider=Microsoft.Mashup.OleDb.1;Data Source=$Workbook$;Location=&quot;Timeline 1&quot;;Extended Properties=&quot;&quot;" command="SELECT * FROM [Timeline 1]" commandType="4"/>
  </connection>
  <connection id="119" xr16:uid="{DC008722-133E-4F1F-B304-7B1F28FCE2CE}" keepAlive="1" name="Connection84" type="5" refreshedVersion="8" background="1">
    <dbPr connection="Provider=Microsoft.Mashup.OleDb.1;Data Source=$Workbook$;Location=&quot;Timeline 1&quot;;Extended Properties=&quot;&quot;" command="SELECT * FROM [Timeline 1]" commandType="4"/>
  </connection>
  <connection id="120" xr16:uid="{83B37253-3DE7-4E14-B3DC-CD7DFDB1BDC3}" keepAlive="1" name="Connection85" type="5" refreshedVersion="8" background="1">
    <dbPr connection="Provider=Microsoft.Mashup.OleDb.1;Data Source=$Workbook$;Location=&quot;Timeline 1&quot;;Extended Properties=&quot;&quot;" command="SELECT * FROM [Timeline 1]" commandType="4"/>
  </connection>
  <connection id="121" xr16:uid="{A1EA9C74-95BF-40F8-8B3F-40DC91868F13}" keepAlive="1" name="Connection86" type="5" refreshedVersion="8" background="1" saveData="1">
    <dbPr connection="Provider=Microsoft.Mashup.OleDb.1;Data Source=$Workbook$;Location=&quot;Timeline 1&quot;;Extended Properties=&quot;&quot;" command="SELECT * FROM [Timeline 1]" commandType="4"/>
  </connection>
  <connection id="122" xr16:uid="{1A7AFB09-8742-40B8-881E-A204D77AD2BD}" keepAlive="1" name="Connection87" type="5" refreshedVersion="8" background="1" saveData="1">
    <dbPr connection="Provider=Microsoft.Mashup.OleDb.1;Data Source=$Workbook$;Location=&quot;Timeline 1&quot;;Extended Properties=&quot;&quot;" command="SELECT * FROM [Timeline 1]" commandType="4"/>
  </connection>
  <connection id="123" xr16:uid="{D2E961DF-0809-456E-B872-29817AC60CA2}" keepAlive="1" name="Connection88" type="5" refreshedVersion="8" background="1" saveData="1">
    <dbPr connection="Provider=Microsoft.Mashup.OleDb.1;Data Source=$Workbook$;Location=&quot;Timeline 1&quot;;Extended Properties=&quot;&quot;" command="SELECT * FROM [Timeline 1]" commandType="4"/>
  </connection>
  <connection id="124" xr16:uid="{93ACFA5B-2D2E-4250-BFAC-A729C125A40C}" keepAlive="1" name="Connection89" type="5" refreshedVersion="8" background="1">
    <dbPr connection="Provider=Microsoft.Mashup.OleDb.1;Data Source=$Workbook$;Location=&quot;Timeline 1&quot;;Extended Properties=&quot;&quot;" command="SELECT * FROM [Timeline 1]" commandType="4"/>
  </connection>
  <connection id="125" xr16:uid="{0E804F0A-C967-42B5-BF34-F66953CB94A9}" keepAlive="1" name="Connection9" type="5" refreshedVersion="0" background="1">
    <dbPr connection="Provider=Microsoft.Mashup.OleDb.1;Data Source=$Workbook$;Location=Timeline 1" commandType="0"/>
  </connection>
  <connection id="126" xr16:uid="{69078CC9-64F3-48F7-A2F3-30006FAE3527}" keepAlive="1" name="Connection90" type="5" refreshedVersion="8" background="1" saveData="1">
    <dbPr connection="Provider=Microsoft.Mashup.OleDb.1;Data Source=$Workbook$;Location=&quot;Timeline 1&quot;;Extended Properties=&quot;&quot;" command="SELECT * FROM [Timeline 1]" commandType="4"/>
  </connection>
  <connection id="127" xr16:uid="{5C3BFCB4-17BB-49CA-B019-CBE1D2CB2C7B}" keepAlive="1" name="Connection91" type="5" refreshedVersion="8" background="1" saveData="1">
    <dbPr connection="Provider=Microsoft.Mashup.OleDb.1;Data Source=$Workbook$;Location=&quot;Timeline 1&quot;;Extended Properties=&quot;&quot;" command="SELECT * FROM [Timeline 1]" commandType="4"/>
  </connection>
  <connection id="128" xr16:uid="{1C37B013-B39D-40B6-B034-B9265AFF4E6A}" keepAlive="1" name="Connection92" type="5" refreshedVersion="8" background="1">
    <dbPr connection="Provider=Microsoft.Mashup.OleDb.1;Data Source=$Workbook$;Location=&quot;Timeline 1&quot;;Extended Properties=&quot;&quot;" command="SELECT * FROM [Timeline 1]" commandType="4"/>
  </connection>
  <connection id="129" xr16:uid="{7E7EC0E0-EE15-4522-8984-CE76759E5FB3}" keepAlive="1" name="Connection93" type="5" refreshedVersion="8" background="1" saveData="1">
    <dbPr connection="Provider=Microsoft.Mashup.OleDb.1;Data Source=$Workbook$;Location=&quot;Timeline 1&quot;;Extended Properties=&quot;&quot;" command="SELECT * FROM [Timeline 1]" commandType="4"/>
  </connection>
  <connection id="130" xr16:uid="{A9F1E3B5-92B3-42A6-A6D5-4AFFFE080A8D}" keepAlive="1" name="Connection94" type="5" refreshedVersion="8" background="1" saveData="1">
    <dbPr connection="Provider=Microsoft.Mashup.OleDb.1;Data Source=$Workbook$;Location=&quot;Timeline 1&quot;;Extended Properties=&quot;&quot;" command="SELECT * FROM [Timeline 1]" commandType="4"/>
  </connection>
  <connection id="131" xr16:uid="{8BB68BC0-9BE7-467D-944A-2ECCAF42BA53}" keepAlive="1" name="Connection95" type="5" refreshedVersion="8" background="1" saveData="1">
    <dbPr connection="Provider=Microsoft.Mashup.OleDb.1;Data Source=$Workbook$;Location=&quot;Timeline 1&quot;;Extended Properties=&quot;&quot;" command="SELECT * FROM [Timeline 1]" commandType="4"/>
  </connection>
  <connection id="132" xr16:uid="{55A55C3C-7EE2-4879-A0A3-DA9D2F51CA91}" keepAlive="1" name="Connection96" type="5" refreshedVersion="8" background="1" saveData="1">
    <dbPr connection="Provider=Microsoft.Mashup.OleDb.1;Data Source=$Workbook$;Location=&quot;Timeline 1&quot;;Extended Properties=&quot;&quot;" command="SELECT * FROM [Timeline 1]" commandType="4"/>
  </connection>
  <connection id="133" xr16:uid="{2B58A28A-2658-4176-B2C1-28EAE4B9923C}" keepAlive="1" name="Connection97" type="5" refreshedVersion="8" background="1">
    <dbPr connection="Provider=Microsoft.Mashup.OleDb.1;Data Source=$Workbook$;Location=&quot;Timeline 1&quot;;Extended Properties=&quot;&quot;" command="SELECT * FROM [Timeline 1]" commandType="4"/>
  </connection>
  <connection id="134" xr16:uid="{4C258EEB-950E-4209-821F-CAB0FBF67248}" keepAlive="1" name="Connection98" type="5" refreshedVersion="8" background="1" saveData="1">
    <dbPr connection="Provider=Microsoft.Mashup.OleDb.1;Data Source=$Workbook$;Location=&quot;Timeline 1&quot;;Extended Properties=&quot;&quot;" command="SELECT * FROM [Timeline 1]" commandType="4"/>
  </connection>
  <connection id="135" xr16:uid="{8A8A20BC-0EA0-46C7-82C9-E77B483E5618}" keepAlive="1" name="Connection99" type="5" refreshedVersion="8" background="1" saveData="1">
    <dbPr connection="Provider=Microsoft.Mashup.OleDb.1;Data Source=$Workbook$;Location=&quot;Timeline 1&quot;;Extended Properties=&quot;&quot;" command="SELECT * FROM [Timeline 1]" commandType="4"/>
  </connection>
  <connection id="136" xr16:uid="{6FD3F561-80C8-493D-9BD8-C3F71E654A80}" name="Query - Timeline 1" description="Connection to Timeline 1" type="5" refreshedVersion="6" saveData="1">
    <dbPr connection="Provider=Microsoft.Mashup.OleDb.1;Data Source=$Workbook$;Location=Timeline 1;Extended Properties=&quot;&quot;" command="Timeline 1" commandType="4"/>
  </connection>
  <connection id="137" xr16:uid="{C9ACFDF2-52AD-4BC0-B74C-78F1A2F01644}" name="Timeline 1_Connection" type="5" refreshedVersion="0" background="1">
    <dbPr connection="Provider=Microsoft.Mashup.OleDb.1;Data Source=$Workbook$;Location=&quot;Timeline 1&quot;;Extended Properties=&quot;&quot;" command="SELECT * FROM [Timeline 1]"/>
  </connection>
</connections>
</file>

<file path=xl/sharedStrings.xml><?xml version="1.0" encoding="utf-8"?>
<sst xmlns="http://schemas.openxmlformats.org/spreadsheetml/2006/main" count="394" uniqueCount="236">
  <si>
    <t>H</t>
  </si>
  <si>
    <t>M</t>
  </si>
  <si>
    <t>S</t>
  </si>
  <si>
    <t>Title</t>
  </si>
  <si>
    <t>Seconds</t>
  </si>
  <si>
    <t>YouTube URL</t>
  </si>
  <si>
    <t>One Line Description</t>
  </si>
  <si>
    <t>Fixed Text for YouTube Description</t>
  </si>
  <si>
    <t xml:space="preserve">Output for MERG WiKi </t>
  </si>
  <si>
    <t>Output for YouTube</t>
  </si>
  <si>
    <t>Fixed Text for MERG Description</t>
  </si>
  <si>
    <t>Press 'Show More' to review the timeline and jump to a specific chapter.
Timeline:</t>
  </si>
  <si>
    <t>&lt;WRAP box&gt;</t>
  </si>
  <si>
    <t>&lt;WRAP column&gt;</t>
  </si>
  <si>
    <t>&lt;WRAP column half&gt;</t>
  </si>
  <si>
    <t>Video Title</t>
  </si>
  <si>
    <t>&lt;/WRAP&gt;</t>
  </si>
  <si>
    <t>EDIT This Section</t>
  </si>
  <si>
    <t>https://youtu.be/_K-W8S6AVDE</t>
  </si>
  <si>
    <t>Timeline</t>
  </si>
  <si>
    <t>Do Not Change the Grey Boxes</t>
  </si>
  <si>
    <t>\\</t>
  </si>
  <si>
    <t>----</t>
  </si>
  <si>
    <t>Main Box Title</t>
  </si>
  <si>
    <t>Date</t>
  </si>
  <si>
    <t>Description (On one line)</t>
  </si>
  <si>
    <t>Long Description (Multi Line OK)</t>
  </si>
  <si>
    <t>{Video Title}</t>
  </si>
  <si>
    <t>{Date of Zoom Call or When Published}</t>
  </si>
  <si>
    <t>{Box Title Goes Here}</t>
  </si>
  <si>
    <t xml:space="preserve">A filled in example is included in this workbook (SIGSample) so you can compare your work to it. </t>
  </si>
  <si>
    <t>When the text from the MERG output is pasted into the MERG WikiPAge (Knowledgebase) the output is as shown below:</t>
  </si>
  <si>
    <r>
      <t xml:space="preserve">When the text from this example is pasted tinto the YouTube Studio "Description Box" the output is this             </t>
    </r>
    <r>
      <rPr>
        <b/>
        <sz val="14"/>
        <color theme="1"/>
        <rFont val="Calibri"/>
        <family val="2"/>
        <scheme val="minor"/>
      </rPr>
      <t>==&gt;&gt;</t>
    </r>
  </si>
  <si>
    <t>YouTube_URL Goes Here</t>
  </si>
  <si>
    <t>Rev</t>
  </si>
  <si>
    <t>What</t>
  </si>
  <si>
    <t xml:space="preserve">By </t>
  </si>
  <si>
    <t>When</t>
  </si>
  <si>
    <t>Alan Lomax</t>
  </si>
  <si>
    <t>First Version for Testing</t>
  </si>
  <si>
    <t>Comments</t>
  </si>
  <si>
    <t>After my testing sent to Martin Decosta for cold eyes review.</t>
  </si>
  <si>
    <t>Current Revision</t>
  </si>
  <si>
    <r>
      <rPr>
        <b/>
        <sz val="14"/>
        <color theme="1"/>
        <rFont val="Calibri"/>
        <family val="2"/>
        <scheme val="minor"/>
      </rPr>
      <t xml:space="preserve">What this worksheet does: </t>
    </r>
    <r>
      <rPr>
        <sz val="14"/>
        <color theme="1"/>
        <rFont val="Calibri"/>
        <family val="2"/>
        <scheme val="minor"/>
      </rPr>
      <t>After creating a Youtube Video for MERG it is desirable to modify the the WiKi (Knowledgebase) to include a reference to the YouTube Video. This worksheet automatically creates two code snippets - one for pasting into the YouTube description and one for pasting into the MERG WiKi / Knowledgebase. By utilizing an EDL file (exported from DaVinci Resolve for example) it will automatically generate appropriate chapter markings. Besides improving consistency it eliminates a lot of manual editing and streamlines the workflow.</t>
    </r>
  </si>
  <si>
    <t>Click Here to Return to Instructions</t>
  </si>
  <si>
    <r>
      <t xml:space="preserve">Minor improvements include: 
</t>
    </r>
    <r>
      <rPr>
        <sz val="11"/>
        <color theme="9" tint="-0.249977111117893"/>
        <rFont val="Calibri"/>
        <family val="2"/>
        <scheme val="minor"/>
      </rPr>
      <t>Revision Control with Hyperlinks for jumping around.
Additional logical tests to remove duplcate messages.</t>
    </r>
  </si>
  <si>
    <t>Video Length (Minutes)</t>
  </si>
  <si>
    <t>Long Description here. Use \\ as EOL marker to force a new line on Wiki.</t>
  </si>
  <si>
    <t>Number</t>
  </si>
  <si>
    <t>Chapter</t>
  </si>
  <si>
    <t>Start Hr</t>
  </si>
  <si>
    <t>Start Min</t>
  </si>
  <si>
    <t>Start Sec</t>
  </si>
  <si>
    <t>Start mSec</t>
  </si>
  <si>
    <t>End Hr</t>
  </si>
  <si>
    <t>End Min</t>
  </si>
  <si>
    <t>End Sec</t>
  </si>
  <si>
    <t>End mSec</t>
  </si>
  <si>
    <t>Path To EDL File</t>
  </si>
  <si>
    <t>PowerScript Below - Do NOT modify.</t>
  </si>
  <si>
    <t xml:space="preserve">    #"Removed Top Rows" = Table.Skip(Source,3),</t>
  </si>
  <si>
    <t xml:space="preserve">    #"Filtered Rows" = Table.SelectRows(#"Removed Top Rows", each [Column1] &lt;&gt; ""),</t>
  </si>
  <si>
    <t xml:space="preserve">    #"Added Custom" = Table.AddColumn(#"Added Index", "NewIndex", each if Number.Mod([Index],2)=0 then null else [Index]),</t>
  </si>
  <si>
    <t xml:space="preserve">    #"Filled Down" = Table.FillDown(#"Added Custom",{"NewIndex"}),</t>
  </si>
  <si>
    <t xml:space="preserve">    #"Removed Columns" = Table.RemoveColumns(#"Filled Down",{"Index"}),</t>
  </si>
  <si>
    <t xml:space="preserve">    #"Grouped Rows" = Table.Group(#"Removed Columns", {"NewIndex"}, {{"Output", each Text.Combine([Column1],"~")}}),</t>
  </si>
  <si>
    <t xml:space="preserve">    #"Removed Columns1" = Table.RemoveColumns(#"Grouped Rows",{"NewIndex"}),</t>
  </si>
  <si>
    <t xml:space="preserve">    #"Split Column by Delimiter" = Table.SplitColumn(#"Removed Columns1", "Output", Splitter.SplitTextByEachDelimiter({" "}, QuoteStyle.Csv, true), {"Output.1", "Output.2"}),</t>
  </si>
  <si>
    <t xml:space="preserve">    #"Changed Type" = Table.TransformColumnTypes(#"Split Column by Delimiter",{{"Output.1", type text}, {"Output.2", type text}}),</t>
  </si>
  <si>
    <t xml:space="preserve">    #"Removed Columns2" = Table.RemoveColumns(#"Changed Type",{"Output.2"}),</t>
  </si>
  <si>
    <t xml:space="preserve">    #"Split Column by Delimiter1" = Table.SplitColumn(#"Removed Columns2", "Output.1", Splitter.SplitTextByEachDelimiter({"|M:"}, QuoteStyle.Csv, true), {"Output.1.1", "Output.1.2"}),</t>
  </si>
  <si>
    <t xml:space="preserve">    #"Changed Type1" = Table.TransformColumnTypes(#"Split Column by Delimiter1",{{"Output.1.1", type text}, {"Output.1.2", type text}}),</t>
  </si>
  <si>
    <t xml:space="preserve">    #"Split Column by Delimiter2" = Table.SplitColumn(#"Changed Type1", "Output.1.1", Splitter.SplitTextByEachDelimiter({"~"}, QuoteStyle.Csv, true), {"Output.1.1.1", "Output.1.1.2"}),</t>
  </si>
  <si>
    <t xml:space="preserve">    #"Changed Type2" = Table.TransformColumnTypes(#"Split Column by Delimiter2",{{"Output.1.1.1", type text}, {"Output.1.1.2", type text}}),</t>
  </si>
  <si>
    <t xml:space="preserve">    #"Removed Columns3" = Table.RemoveColumns(#"Changed Type2",{"Output.1.1.2"}),</t>
  </si>
  <si>
    <t xml:space="preserve">    #"Renamed Columns" = Table.RenameColumns(#"Removed Columns3",{{"Output.1.2", "Chapter"}}),</t>
  </si>
  <si>
    <t xml:space="preserve">    #"Inserted Text Between Delimiters" = Table.AddColumn(#"Renamed Columns", "End TimeCode", each Text.BetweenDelimiters([Output.1.1.1], " ", " ", {2, RelativePosition.FromEnd}, 0), type text),</t>
  </si>
  <si>
    <t xml:space="preserve">    #"Inserted Text Between Delimiters1" = Table.AddColumn(#"Inserted Text Between Delimiters", "Text Between Delimiters", each Text.BetweenDelimiters([Output.1.1.1], " ", " ", {3, RelativePosition.FromEnd}, 0), type text),</t>
  </si>
  <si>
    <t xml:space="preserve">    #"Renamed Columns1" = Table.RenameColumns(#"Inserted Text Between Delimiters1",{{"Text Between Delimiters", "Start TimeCode"}}),</t>
  </si>
  <si>
    <t xml:space="preserve">    #"Reordered Columns" = Table.ReorderColumns(#"Renamed Columns1",{"Output.1.1.1", "Chapter", "Start TimeCode", "End TimeCode"}),</t>
  </si>
  <si>
    <t xml:space="preserve">    #"Inserted Text Before Delimiter" = Table.AddColumn(#"Reordered Columns", "Number", each Text.BeforeDelimiter([Output.1.1.1], " "), type text),</t>
  </si>
  <si>
    <t xml:space="preserve">    #"Reordered Columns1" = Table.ReorderColumns(#"Inserted Text Before Delimiter",{"Output.1.1.1", "Number", "Chapter", "Start TimeCode", "End TimeCode"}),</t>
  </si>
  <si>
    <t xml:space="preserve">    #"Removed Columns4" = Table.RemoveColumns(#"Reordered Columns1",{"Output.1.1.1"}),</t>
  </si>
  <si>
    <t xml:space="preserve">    #"Split Column by Delimiter3" = Table.SplitColumn(#"Removed Columns4", "Start TimeCode", Splitter.SplitTextByDelimiter(":", QuoteStyle.Csv), {"Start TimeCode.1", "Start TimeCode.2", "Start TimeCode.3", "Start TimeCode.4"}),</t>
  </si>
  <si>
    <t xml:space="preserve">    #"Changed Type3" = Table.TransformColumnTypes(#"Split Column by Delimiter3",{{"Start TimeCode.1", Int64.Type}, {"Start TimeCode.2", Int64.Type}, {"Start TimeCode.3", Int64.Type}, {"Start TimeCode.4", Int64.Type}}),</t>
  </si>
  <si>
    <t xml:space="preserve">    #"Renamed Columns2" = Table.RenameColumns(#"Changed Type3",{{"Start TimeCode.1", "Start Hr"}, {"Start TimeCode.2", "Start Min"}, {"Start TimeCode.3", "Start Sec"}, {"Start TimeCode.4", "Start mSec"}}),</t>
  </si>
  <si>
    <t xml:space="preserve">    #"Split Column by Delimiter4" = Table.SplitColumn(#"Renamed Columns2", "End TimeCode", Splitter.SplitTextByDelimiter(":", QuoteStyle.Csv), {"End TimeCode.1", "End TimeCode.2", "End TimeCode.3", "End TimeCode.4"}),</t>
  </si>
  <si>
    <t xml:space="preserve">    #"Changed Type4" = Table.TransformColumnTypes(#"Split Column by Delimiter4",{{"End TimeCode.1", Int64.Type}, {"End TimeCode.2", Int64.Type}, {"End TimeCode.3", Int64.Type}, {"End TimeCode.4", Int64.Type}}),</t>
  </si>
  <si>
    <t xml:space="preserve">    #"Renamed Columns3" = Table.RenameColumns(#"Changed Type4",{{"End TimeCode.1", "End Hr"}, {"End TimeCode.2", "End Min"}, {"End TimeCode.3", "End Sec"}, {"End TimeCode.4", "End mSec"}}),</t>
  </si>
  <si>
    <t xml:space="preserve">    #"Reordered Columns2" = Table.ReorderColumns(#"Inserted Subtraction",{"Number", "Chapter", "Start Hr", "Subtraction", "Start Min", "Start Sec", "Start mSec", "End Hr", "End Min", "End Sec", "End mSec"}),</t>
  </si>
  <si>
    <t xml:space="preserve">    #"Removed Columns5" = Table.RemoveColumns(#"Reordered Columns2",{"Start Hr"}),</t>
  </si>
  <si>
    <t xml:space="preserve">    #"Renamed Columns4" = Table.RenameColumns(#"Removed Columns5",{{"Subtraction", "Start Hr"}}),</t>
  </si>
  <si>
    <t xml:space="preserve">    #"Reordered Columns3" = Table.ReorderColumns(#"Inserted Subtraction1",{"Number", "Chapter", "Start Hr", "Start Min", "Start Sec", "Start mSec", "End Hr", "Subtraction", "End Min", "End Sec", "End mSec"}),</t>
  </si>
  <si>
    <t xml:space="preserve">    #"Removed Columns6" = Table.RemoveColumns(#"Reordered Columns3",{"End Hr"}),</t>
  </si>
  <si>
    <t xml:space="preserve">    #"Renamed Columns5" = Table.RenameColumns(#"Removed Columns6",{{"Subtraction", "End Hr"}})</t>
  </si>
  <si>
    <t>in</t>
  </si>
  <si>
    <t xml:space="preserve">    #"Renamed Columns5"</t>
  </si>
  <si>
    <t>Current Worksheet</t>
  </si>
  <si>
    <t xml:space="preserve">let </t>
  </si>
  <si>
    <t>D:\Timeline 1.edl</t>
  </si>
  <si>
    <t>Lots of fussing getting code to work across multiple worksheets</t>
  </si>
  <si>
    <t>Combined main Excel with the EDL conversion PowerQuery which previously was in a separate worksheet.</t>
  </si>
  <si>
    <t>Prior</t>
  </si>
  <si>
    <r>
      <t xml:space="preserve">On </t>
    </r>
    <r>
      <rPr>
        <b/>
        <sz val="14"/>
        <color theme="1"/>
        <rFont val="Calibri"/>
        <family val="2"/>
        <scheme val="minor"/>
      </rPr>
      <t>the new sheet</t>
    </r>
    <r>
      <rPr>
        <sz val="14"/>
        <color theme="1"/>
        <rFont val="Calibri"/>
        <family val="2"/>
        <scheme val="minor"/>
      </rPr>
      <t xml:space="preserve"> click the button to browse for the EDL file and select it..</t>
    </r>
  </si>
  <si>
    <t>Feedback from Martin Decosta and minor improvements.
Instructions: Add warning Re Macros
Template - Revise Formulae (Case for Videos less than 1 hour)</t>
  </si>
  <si>
    <r>
      <t xml:space="preserve">You </t>
    </r>
    <r>
      <rPr>
        <b/>
        <sz val="14"/>
        <color rgb="FFC00000"/>
        <rFont val="Calibri"/>
        <family val="2"/>
        <scheme val="minor"/>
      </rPr>
      <t>MUST</t>
    </r>
    <r>
      <rPr>
        <sz val="14"/>
        <color rgb="FFC00000"/>
        <rFont val="Calibri"/>
        <family val="2"/>
        <scheme val="minor"/>
      </rPr>
      <t xml:space="preserve"> Enable Macros for for this Tool to work properly.
This worksheet uses Macros to copy the template sheet and to process text strings. </t>
    </r>
    <r>
      <rPr>
        <b/>
        <sz val="14"/>
        <color rgb="FFC00000"/>
        <rFont val="Calibri"/>
        <family val="2"/>
        <scheme val="minor"/>
      </rPr>
      <t/>
    </r>
  </si>
  <si>
    <r>
      <rPr>
        <b/>
        <sz val="14"/>
        <color theme="1"/>
        <rFont val="Calibri"/>
        <family val="2"/>
        <scheme val="minor"/>
      </rPr>
      <t>In DaVinci Resolve</t>
    </r>
    <r>
      <rPr>
        <sz val="14"/>
        <color theme="1"/>
        <rFont val="Calibri"/>
        <family val="2"/>
        <scheme val="minor"/>
      </rPr>
      <t xml:space="preserve"> - export (from the timeline) an EDL file. (This is likely possible with other Video tools but has not been tested.)</t>
    </r>
  </si>
  <si>
    <t>Notes:</t>
  </si>
  <si>
    <t>00:00:12 Start</t>
  </si>
  <si>
    <t>00:02:14 Topics</t>
  </si>
  <si>
    <t>00:03:14 What is RFID?</t>
  </si>
  <si>
    <t>00:08:33 RFID Vocabulary</t>
  </si>
  <si>
    <t>00:20:33 Vocabulary Summary  in Pictures</t>
  </si>
  <si>
    <t>00:22:08 RFID Standards</t>
  </si>
  <si>
    <t>00:24:57 Choice of Frequency</t>
  </si>
  <si>
    <t>00:26:22 Q&amp;A Intermission</t>
  </si>
  <si>
    <t>00:38:57 Example: RF Field Strength Tester</t>
  </si>
  <si>
    <t>[[https://youtu.be/_K-W8S6AVDE?t=12|00:00:12]] Start\\</t>
  </si>
  <si>
    <t>00:48:39 Part 2 - RFID Usage Cases</t>
  </si>
  <si>
    <t>[[https://youtu.be/_K-W8S6AVDE?t=134|00:02:14]] Topics\\</t>
  </si>
  <si>
    <t>00:56:09 Multiple Data Consumers</t>
  </si>
  <si>
    <t>[[https://youtu.be/_K-W8S6AVDE?t=194|00:03:14]] What is RFID?\\</t>
  </si>
  <si>
    <t>01:05:18 Summary and Wrap Up</t>
  </si>
  <si>
    <t>[[https://youtu.be/_K-W8S6AVDE?t=513|00:08:33]] RFID Vocabulary\\</t>
  </si>
  <si>
    <t/>
  </si>
  <si>
    <t>[[https://youtu.be/_K-W8S6AVDE?t=1233|00:20:33]] Vocabulary Summary  in Pictures\\</t>
  </si>
  <si>
    <t>[[https://youtu.be/_K-W8S6AVDE?t=1328|00:22:08]] RFID Standards\\</t>
  </si>
  <si>
    <t>[[https://youtu.be/_K-W8S6AVDE?t=1497|00:24:57]] Choice of Frequency\\</t>
  </si>
  <si>
    <t>[[https://youtu.be/_K-W8S6AVDE?t=1582|00:26:22]] Q&amp;A Intermission\\</t>
  </si>
  <si>
    <t>[[https://youtu.be/_K-W8S6AVDE?t=2337|00:38:57]] Example: RF Field Strength Tester\\</t>
  </si>
  <si>
    <t>[[https://youtu.be/_K-W8S6AVDE?t=2919|00:48:39]] Part 2 - RFID Usage Cases\\</t>
  </si>
  <si>
    <t>[[https://youtu.be/_K-W8S6AVDE?t=3369|00:56:09]] Multiple Data Consumers\\</t>
  </si>
  <si>
    <t>[[https://youtu.be/_K-W8S6AVDE?t=3918|01:05:18]] Summary and Wrap Up\\</t>
  </si>
  <si>
    <t>SIGSample</t>
  </si>
  <si>
    <t>Supress Error messages on blank rows.
Attempted to Lock sheets to prevent inadvertent change.
This prevented code from running.  
(Decided to Hide the sheets instead)</t>
  </si>
  <si>
    <t>Improved the Instructions Page.
Template and processor sheets are hidden. In code they are unhidden, used, and rehidden. Tested.</t>
  </si>
  <si>
    <t>You can return to the instructions to create a new sheet and process another EDL file.</t>
  </si>
  <si>
    <t>RFID SIG Zoom Meeting #2</t>
  </si>
  <si>
    <t>Zoom Meeting 9th February 2023</t>
  </si>
  <si>
    <t>RFID - Introduction and Concepts</t>
  </si>
  <si>
    <t>In this Zoom meeting Alan Lomax introduces many of the fundamental concepts associated with RFID. He explains in a clear way the vocabulary that is used in RFID. The viewer will also learn the many usage cases for RFID applicable to model railways.</t>
  </si>
  <si>
    <t>Alan Lomax presents an Introduction to RFID.</t>
  </si>
  <si>
    <t>=====RFID SIG Zoom Meeting #2=====</t>
  </si>
  <si>
    <t>====Zoom Meeting 9th February 2023====</t>
  </si>
  <si>
    <t>===RFID - Introduction and Concepts===</t>
  </si>
  <si>
    <t>{{:subjects:msag_youtube_icon.jpg?40 |A YouTube video}} [[https://youtu.be/_K-W8S6AVDE|RFID - Introduction and Concepts]] (66 mins) {{youtube&gt;_K-W8S6AVDE}}\\</t>
  </si>
  <si>
    <t xml:space="preserve">    #"Inserted Subtraction1" = Table.AddColumn(#"Renamed Columns4", "Subtraction", each [End Hr] - 0, type number),</t>
  </si>
  <si>
    <t xml:space="preserve">    #"Inserted Subtraction" = Table.AddColumn(#"Renamed Columns3", "Subtraction", each [Start Hr] - 0, type number),</t>
  </si>
  <si>
    <t>Revised EDL_Processor script to eliminate -1 from hour.</t>
  </si>
  <si>
    <t>Change timeline in Davinci to start at 0 hr not 1hr 
(1 hour is the default behaviour)    See:
https://beginnersapproach.com/davinci-resolve-start-timecode/</t>
  </si>
  <si>
    <t>Removed code that caused cosmetic blinking text. (Affected cut and paste operations by stealing the focus.). Also simplified instructions by the moving screen shots to own page.</t>
  </si>
  <si>
    <t>Blink was only for eye-candy - not worth the agro. Screen shots did not add value to Instructions.</t>
  </si>
  <si>
    <r>
      <t xml:space="preserve">For the MERG WiKi page copy and </t>
    </r>
    <r>
      <rPr>
        <b/>
        <sz val="14"/>
        <color theme="1"/>
        <rFont val="Calibri"/>
        <family val="2"/>
        <scheme val="minor"/>
      </rPr>
      <t>paste as plain text</t>
    </r>
    <r>
      <rPr>
        <sz val="14"/>
        <color theme="1"/>
        <rFont val="Calibri"/>
        <family val="2"/>
        <scheme val="minor"/>
      </rPr>
      <t xml:space="preserve"> into the Knowledgebase.</t>
    </r>
  </si>
  <si>
    <t>001</t>
  </si>
  <si>
    <t>002</t>
  </si>
  <si>
    <t>006</t>
  </si>
  <si>
    <t>008</t>
  </si>
  <si>
    <t>009</t>
  </si>
  <si>
    <t>010</t>
  </si>
  <si>
    <t>003</t>
  </si>
  <si>
    <t>004</t>
  </si>
  <si>
    <t>005</t>
  </si>
  <si>
    <t>007</t>
  </si>
  <si>
    <t>https://youtu.be/hDN08tzwWUE</t>
  </si>
  <si>
    <t>D:\MERG_Video\_Arduino_SIG\_ARDUINO_SIG_Videos\14 Zoom_2025_11_25\14 Zoom_2025_11_25.edl</t>
  </si>
  <si>
    <t>Nov 25 2025</t>
  </si>
  <si>
    <t>Joint Arduino and Automation SIG Zoom Call</t>
  </si>
  <si>
    <t>Improved Sensors</t>
  </si>
  <si>
    <t>In a joint call between the Automation and the Arduino SIGs Chris Sharp presents on Improved Sensors.</t>
  </si>
  <si>
    <t xml:space="preserve">In this talk Chris Sharp gives an introduction to sensors and issues can arise. He then goes on to explain various enhancements that can be made to the logic to greatly improve reliability. </t>
  </si>
  <si>
    <t>00:01:32 Start of Presentation</t>
  </si>
  <si>
    <t>00:08:18 Basic Block Detection</t>
  </si>
  <si>
    <t>00:09:52 Slightly Improved Block Detection</t>
  </si>
  <si>
    <t>00:11:06 https://www.youtube.com/watch?v=OFfXNohnaSc</t>
  </si>
  <si>
    <t>00:13:36 An Alternate Approach</t>
  </si>
  <si>
    <t>00:15:23 Modified Code (Walkthrough)</t>
  </si>
  <si>
    <t>00:19:35 Pause for Questions</t>
  </si>
  <si>
    <t>00:22:23 JMRI as a Bridge</t>
  </si>
  <si>
    <t>00:35:05 Break for Questions</t>
  </si>
  <si>
    <t>00:36:43 The Modular Layout Wrinkle</t>
  </si>
  <si>
    <t>00:41:40 Enhanced Mode</t>
  </si>
  <si>
    <t>00:44:43 Pause for Questions</t>
  </si>
  <si>
    <t>00:46:24 Continuing - Code Walkthrough</t>
  </si>
  <si>
    <t>00:50:37 For Operations - The JMRI Panels</t>
  </si>
  <si>
    <t>00:52:21 End of Presentation - Q&amp;A Starts</t>
  </si>
  <si>
    <t>00:59:01 Sample Jython</t>
  </si>
  <si>
    <t>01:13:03 End of Talk</t>
  </si>
  <si>
    <t>00:11:03 Chris Holden - As An Influencer</t>
  </si>
  <si>
    <t>https://youtu.be/onbkIkp4f94</t>
  </si>
  <si>
    <t>Arduino SIG Zoom</t>
  </si>
  <si>
    <t>Dec 9 2025</t>
  </si>
  <si>
    <t>Start</t>
  </si>
  <si>
    <t>Arduino_SIG_Zoom_22025_11_25</t>
  </si>
  <si>
    <t>=====Joint Arduino and Automation SIG Zoom Call=====</t>
  </si>
  <si>
    <t>====Nov 25 2025====</t>
  </si>
  <si>
    <t>===Improved Sensors===</t>
  </si>
  <si>
    <t>[[https://youtu.be/hDN08tzwWUE?t=92|00:01:32]] Start of Presentation\\</t>
  </si>
  <si>
    <t>[[https://youtu.be/hDN08tzwWUE?t=498|00:08:18]] Basic Block Detection\\</t>
  </si>
  <si>
    <t>[[https://youtu.be/hDN08tzwWUE?t=592|00:09:52]] Slightly Improved Block Detection\\</t>
  </si>
  <si>
    <t>[[https://youtu.be/hDN08tzwWUE?t=663|00:11:03]] Chris Holden - As An Influencer\\</t>
  </si>
  <si>
    <t>[[https://youtu.be/hDN08tzwWUE?t=666|00:11:06]] https://www.youtube.com/watch?v=OFfXNohnaSc\\</t>
  </si>
  <si>
    <t>[[https://youtu.be/hDN08tzwWUE?t=816|00:13:36]] An Alternate Approach\\</t>
  </si>
  <si>
    <t>[[https://youtu.be/hDN08tzwWUE?t=923|00:15:23]] Modified Code (Walkthrough)\\</t>
  </si>
  <si>
    <t>[[https://youtu.be/hDN08tzwWUE?t=1175|00:19:35]] Pause for Questions\\</t>
  </si>
  <si>
    <t>[[https://youtu.be/hDN08tzwWUE?t=1343|00:22:23]] JMRI as a Bridge\\</t>
  </si>
  <si>
    <t>[[https://youtu.be/hDN08tzwWUE?t=2105|00:35:05]] Break for Questions\\</t>
  </si>
  <si>
    <t>[[https://youtu.be/hDN08tzwWUE?t=2203|00:36:43]] The Modular Layout Wrinkle\\</t>
  </si>
  <si>
    <t>[[https://youtu.be/hDN08tzwWUE?t=2500|00:41:40]] Enhanced Mode\\</t>
  </si>
  <si>
    <t>[[https://youtu.be/hDN08tzwWUE?t=2683|00:44:43]] Pause for Questions\\</t>
  </si>
  <si>
    <t>[[https://youtu.be/hDN08tzwWUE?t=2784|00:46:24]] Continuing - Code Walkthrough\\</t>
  </si>
  <si>
    <t>[[https://youtu.be/hDN08tzwWUE?t=3037|00:50:37]] For Operations - The JMRI Panels\\</t>
  </si>
  <si>
    <t>[[https://youtu.be/hDN08tzwWUE?t=3141|00:52:21]] End of Presentation - Q&amp;A Starts\\</t>
  </si>
  <si>
    <t>[[https://youtu.be/hDN08tzwWUE?t=3541|00:59:01]] Sample Jython\\</t>
  </si>
  <si>
    <t>[[https://youtu.be/hDN08tzwWUE?t=4383|01:13:03]] End of Talk\\</t>
  </si>
  <si>
    <t>{{:subjects:msag_youtube_icon.jpg?40 |A YouTube video}} [[https://youtu.be/hDN08tzwWUE|Improved Sensors]] (74 mins) {{youtube&gt;hDN08tzwWUE}}\\</t>
  </si>
  <si>
    <t>D:\MERG_Video\_Arduino_SIG\_ARDUINO_SIG_Videos\15 Zoom_2025_12_09\Arduino_SIG_Zoom_Dec_9_2025.edl</t>
  </si>
  <si>
    <t xml:space="preserve">    Source = Table.FromColumns({Lines.FromBinary(File.Contents("D:\MERG_Video\_Arduino_SIG\_ARDUINO_SIG_Videos\15 Zoom_2025_12_09\Arduino_SIG_Zoom_Dec_9_2025.edl"))}),</t>
  </si>
  <si>
    <t xml:space="preserve">    #"Added Index" = Table.AddIndexColumn(#"Filtered Rows", "Index", 1, 1),</t>
  </si>
  <si>
    <t>Hardware (Processors) Covered</t>
  </si>
  <si>
    <t>Topics Covered During Year</t>
  </si>
  <si>
    <t>John' s Highlights for 2025</t>
  </si>
  <si>
    <t>Personal Challenges</t>
  </si>
  <si>
    <t>Where from Here? (users perspective)</t>
  </si>
  <si>
    <t>Where from Here? (Developers perspective)</t>
  </si>
  <si>
    <t>Platform I/O Gets a mention</t>
  </si>
  <si>
    <t>MERG 2025</t>
  </si>
  <si>
    <t>End of Presnetation / Final Words</t>
  </si>
  <si>
    <t>2025 Year end review</t>
  </si>
  <si>
    <t xml:space="preserve">This zoom chat started off with John giving us a quick year end review presentation. This lasted about 15 minutes and was followed by another 45 minutes of general chat, which by general consensus was not worthy enough to be published. </t>
  </si>
  <si>
    <t>2025 Year End Review</t>
  </si>
  <si>
    <t>Click the "New Worksheet" button on the right to copy the Template to a new sheet (You will be prompted for a new Sheet name)</t>
  </si>
  <si>
    <t>Enter the other 'one time' details in the yellow sections. Most important is the shortcut link to the Youtube video. (This is available as soon as you start an upload to Youtube. The upload does not need to finish).</t>
  </si>
  <si>
    <t>The output text for the YouTube description box is automatically created (copy and paste it into the YouTube description box for the video.)</t>
  </si>
  <si>
    <t>At this point the working sheet created in Step 1 is using formulae and it will update if a new EDL is processed. 
Click the button "Preserve Sheet Values" to preserve it as it is. (copies all formulas and replaces them all with values.)</t>
  </si>
  <si>
    <t>Extensive debugging of VBA code after moving to Win 11. Used Claude AI for automatically adding debug code to help sort it out. Moved common code to a VBA module. Only the button click code stays in a worksheet.</t>
  </si>
  <si>
    <t xml:space="preserve">Much tighter security on external data power queries. Changes to number of parameters in function calls.  
Claude reports : Your Excel VBA code is now working with the newer Excel version! Just to summarize what we fixed:
Power Query M code - Removed the 5th parameter (Int64.Type) from Table.AddIndexColumn
VBA loading method - Switched from ListObjects.Add to Connections.Add2 with QueryTables.Add (which works with newer Excel versions)
Code organization - Moved everything to a standard module with proper worksheet references. Only the button click code stays in each worksheet.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</si>
</sst>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font>
      <sz val="11"/>
      <color theme="1"/>
      <name val="Calibri"/>
      <family val="2"/>
      <scheme val="minor"/>
    </font>
    <font>
      <sz val="11"/>
      <color rgb="FFFF0000"/>
      <name val="Calibri"/>
      <family val="2"/>
      <scheme val="minor"/>
    </font>
    <font>
      <sz val="11"/>
      <color rgb="FF0D0D0D"/>
      <name val="Arial"/>
      <family val="2"/>
    </font>
    <font>
      <sz val="9"/>
      <color indexed="81"/>
      <name val="Tahoma"/>
      <family val="2"/>
    </font>
    <font>
      <b/>
      <sz val="9"/>
      <color indexed="81"/>
      <name val="Tahoma"/>
      <family val="2"/>
    </font>
    <font>
      <sz val="9"/>
      <color indexed="10"/>
      <name val="Tahoma"/>
      <family val="2"/>
    </font>
    <font>
      <b/>
      <sz val="11"/>
      <color theme="1"/>
      <name val="Calibri"/>
      <family val="2"/>
      <scheme val="minor"/>
    </font>
    <font>
      <sz val="14"/>
      <color theme="1"/>
      <name val="Calibri"/>
      <family val="2"/>
      <scheme val="minor"/>
    </font>
    <font>
      <b/>
      <sz val="14"/>
      <color rgb="FFFF0000"/>
      <name val="Calibri"/>
      <family val="2"/>
      <scheme val="minor"/>
    </font>
    <font>
      <u/>
      <sz val="11"/>
      <color theme="10"/>
      <name val="Calibri"/>
      <family val="2"/>
      <scheme val="minor"/>
    </font>
    <font>
      <b/>
      <sz val="14"/>
      <color theme="1"/>
      <name val="Calibri"/>
      <family val="2"/>
      <scheme val="minor"/>
    </font>
    <font>
      <b/>
      <sz val="16"/>
      <color theme="1"/>
      <name val="Calibri"/>
      <family val="2"/>
      <scheme val="minor"/>
    </font>
    <font>
      <sz val="11"/>
      <color theme="9" tint="-0.249977111117893"/>
      <name val="Calibri"/>
      <family val="2"/>
      <scheme val="minor"/>
    </font>
    <font>
      <sz val="14"/>
      <color rgb="FFC00000"/>
      <name val="Calibri"/>
      <family val="2"/>
      <scheme val="minor"/>
    </font>
    <font>
      <b/>
      <sz val="14"/>
      <color rgb="FFC00000"/>
      <name val="Calibri"/>
      <family val="2"/>
      <scheme val="minor"/>
    </font>
    <font>
      <sz val="8"/>
      <name val="Calibri"/>
      <family val="2"/>
      <scheme val="minor"/>
    </font>
    <font>
      <sz val="11"/>
      <name val="Calibri"/>
      <family val="2"/>
      <scheme val="minor"/>
    </font>
    <font>
      <sz val="18"/>
      <color rgb="FF993366"/>
      <name val="BritishRailDarkNormal"/>
    </font>
    <font>
      <u/>
      <sz val="18"/>
      <color rgb="FFFF0000"/>
      <name val="Calibri"/>
      <family val="2"/>
      <scheme val="minor"/>
    </font>
    <font>
      <b/>
      <sz val="18"/>
      <color theme="1"/>
      <name val="Calibri"/>
      <family val="2"/>
      <scheme val="minor"/>
    </font>
    <font>
      <b/>
      <sz val="12"/>
      <color rgb="FFFF0000"/>
      <name val="Calibri"/>
      <family val="2"/>
    </font>
    <font>
      <sz val="11"/>
      <color rgb="FF000000"/>
      <name val="Calibri"/>
      <family val="2"/>
      <scheme val="minor"/>
    </font>
    <font>
      <b/>
      <sz val="11"/>
      <color rgb="FFFF0000"/>
      <name val="Calibri"/>
      <family val="2"/>
      <scheme val="minor"/>
    </font>
    <font>
      <u/>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FFFFCC"/>
        <bgColor indexed="64"/>
      </patternFill>
    </fill>
    <fill>
      <patternFill patternType="solid">
        <fgColor theme="9" tint="0.59999389629810485"/>
        <bgColor indexed="64"/>
      </patternFill>
    </fill>
    <fill>
      <patternFill patternType="solid">
        <fgColor theme="2" tint="-0.249977111117893"/>
        <bgColor indexed="64"/>
      </patternFill>
    </fill>
  </fills>
  <borders count="3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1"/>
      </left>
      <right style="medium">
        <color theme="1"/>
      </right>
      <top style="medium">
        <color theme="1"/>
      </top>
      <bottom style="medium">
        <color theme="1"/>
      </bottom>
      <diagonal/>
    </border>
    <border>
      <left style="medium">
        <color theme="1"/>
      </left>
      <right style="thin">
        <color theme="0" tint="-0.249977111117893"/>
      </right>
      <top style="medium">
        <color theme="1"/>
      </top>
      <bottom style="medium">
        <color theme="1"/>
      </bottom>
      <diagonal/>
    </border>
    <border>
      <left style="thin">
        <color theme="0" tint="-0.249977111117893"/>
      </left>
      <right style="thin">
        <color theme="0" tint="-0.249977111117893"/>
      </right>
      <top style="medium">
        <color theme="1"/>
      </top>
      <bottom style="medium">
        <color theme="1"/>
      </bottom>
      <diagonal/>
    </border>
    <border>
      <left style="thin">
        <color theme="0" tint="-0.249977111117893"/>
      </left>
      <right style="medium">
        <color theme="1"/>
      </right>
      <top style="medium">
        <color theme="1"/>
      </top>
      <bottom style="medium">
        <color theme="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medium">
        <color theme="1"/>
      </left>
      <right style="medium">
        <color theme="1"/>
      </right>
      <top style="medium">
        <color theme="1"/>
      </top>
      <bottom/>
      <diagonal/>
    </border>
  </borders>
  <cellStyleXfs count="2">
    <xf numFmtId="0" fontId="0" fillId="0" borderId="0"/>
    <xf numFmtId="0" fontId="9" fillId="0" borderId="0" applyNumberFormat="0" applyFill="0" applyBorder="0" applyAlignment="0" applyProtection="0"/>
  </cellStyleXfs>
  <cellXfs count="129">
    <xf numFmtId="0" fontId="0" fillId="0" borderId="0" xfId="0"/>
    <xf numFmtId="0" fontId="0" fillId="0" borderId="0" xfId="0" applyAlignment="1">
      <alignment horizontal="center"/>
    </xf>
    <xf numFmtId="0" fontId="7" fillId="0" borderId="0" xfId="0" applyFont="1"/>
    <xf numFmtId="0" fontId="0" fillId="2" borderId="1" xfId="0" applyFill="1" applyBorder="1" applyAlignment="1">
      <alignment horizontal="right" vertical="center"/>
    </xf>
    <xf numFmtId="0" fontId="2" fillId="2" borderId="2" xfId="0" applyFont="1" applyFill="1" applyBorder="1" applyAlignment="1">
      <alignment horizontal="right" wrapText="1"/>
    </xf>
    <xf numFmtId="0" fontId="2" fillId="2" borderId="5" xfId="0" applyFont="1" applyFill="1" applyBorder="1" applyAlignment="1">
      <alignment horizontal="right" wrapText="1"/>
    </xf>
    <xf numFmtId="0" fontId="0" fillId="0" borderId="8" xfId="0" applyBorder="1"/>
    <xf numFmtId="0" fontId="7" fillId="0" borderId="14" xfId="0" applyFont="1" applyBorder="1"/>
    <xf numFmtId="0" fontId="0" fillId="0" borderId="14" xfId="0" applyBorder="1"/>
    <xf numFmtId="0" fontId="0" fillId="0" borderId="9" xfId="0" applyBorder="1"/>
    <xf numFmtId="0" fontId="0" fillId="0" borderId="0" xfId="0" applyAlignment="1">
      <alignment horizontal="center" vertical="center"/>
    </xf>
    <xf numFmtId="0" fontId="0" fillId="3" borderId="0" xfId="0" applyFill="1"/>
    <xf numFmtId="0" fontId="11" fillId="3" borderId="0" xfId="0" applyFont="1" applyFill="1"/>
    <xf numFmtId="0" fontId="0" fillId="2" borderId="17" xfId="0" applyFill="1" applyBorder="1" applyAlignment="1">
      <alignment horizontal="center" vertical="center"/>
    </xf>
    <xf numFmtId="0" fontId="0" fillId="2" borderId="18" xfId="0" applyFill="1" applyBorder="1"/>
    <xf numFmtId="0" fontId="0" fillId="2" borderId="18" xfId="0" applyFill="1" applyBorder="1" applyAlignment="1">
      <alignment horizontal="center"/>
    </xf>
    <xf numFmtId="0" fontId="0" fillId="2" borderId="19" xfId="0" applyFill="1" applyBorder="1" applyAlignment="1">
      <alignment horizontal="center"/>
    </xf>
    <xf numFmtId="0" fontId="0" fillId="0" borderId="21" xfId="0" applyBorder="1"/>
    <xf numFmtId="0" fontId="0" fillId="0" borderId="26" xfId="0" applyBorder="1"/>
    <xf numFmtId="0" fontId="0" fillId="0" borderId="27" xfId="0" applyBorder="1"/>
    <xf numFmtId="0" fontId="0" fillId="0" borderId="15" xfId="0" applyBorder="1" applyAlignment="1">
      <alignment vertical="center" wrapText="1"/>
    </xf>
    <xf numFmtId="0" fontId="0" fillId="0" borderId="15" xfId="0" applyBorder="1" applyAlignment="1">
      <alignment vertical="center"/>
    </xf>
    <xf numFmtId="0" fontId="0" fillId="0" borderId="24" xfId="0" applyBorder="1" applyAlignment="1">
      <alignment horizontal="left" vertical="center"/>
    </xf>
    <xf numFmtId="0" fontId="0" fillId="0" borderId="22" xfId="0" applyBorder="1" applyAlignment="1">
      <alignment horizontal="left"/>
    </xf>
    <xf numFmtId="14" fontId="0" fillId="0" borderId="15" xfId="0" applyNumberFormat="1" applyBorder="1" applyAlignment="1">
      <alignment horizontal="center" vertical="center"/>
    </xf>
    <xf numFmtId="0" fontId="0" fillId="3" borderId="0" xfId="0" applyFill="1" applyAlignment="1">
      <alignment horizontal="center"/>
    </xf>
    <xf numFmtId="0" fontId="9" fillId="3" borderId="0" xfId="1" applyFill="1"/>
    <xf numFmtId="0" fontId="0" fillId="0" borderId="24" xfId="0" applyBorder="1" applyAlignment="1">
      <alignment horizontal="left" vertical="center" wrapText="1"/>
    </xf>
    <xf numFmtId="0" fontId="8" fillId="2" borderId="6" xfId="0" applyFont="1" applyFill="1" applyBorder="1"/>
    <xf numFmtId="0" fontId="0" fillId="9" borderId="7" xfId="0" applyFill="1" applyBorder="1"/>
    <xf numFmtId="0" fontId="0" fillId="8" borderId="16" xfId="0" applyFill="1" applyBorder="1"/>
    <xf numFmtId="0" fontId="0" fillId="12" borderId="10" xfId="0" applyFill="1" applyBorder="1"/>
    <xf numFmtId="0" fontId="6" fillId="2" borderId="16" xfId="0" applyFont="1" applyFill="1" applyBorder="1" applyAlignment="1">
      <alignment horizontal="center"/>
    </xf>
    <xf numFmtId="0" fontId="0" fillId="6" borderId="0" xfId="0" applyFill="1" applyAlignment="1">
      <alignment horizontal="right" vertical="center"/>
    </xf>
    <xf numFmtId="0" fontId="2" fillId="5" borderId="0" xfId="0" applyFont="1" applyFill="1" applyAlignment="1">
      <alignment horizontal="left" wrapText="1"/>
    </xf>
    <xf numFmtId="0" fontId="2" fillId="5" borderId="8" xfId="0" applyFont="1" applyFill="1" applyBorder="1" applyAlignment="1">
      <alignment horizontal="left" wrapText="1"/>
    </xf>
    <xf numFmtId="0" fontId="0" fillId="5" borderId="5" xfId="0" applyFill="1" applyBorder="1"/>
    <xf numFmtId="0" fontId="0" fillId="5" borderId="0" xfId="0" applyFill="1"/>
    <xf numFmtId="0" fontId="0" fillId="5" borderId="8" xfId="0" applyFill="1" applyBorder="1"/>
    <xf numFmtId="0" fontId="0" fillId="5" borderId="5" xfId="0" applyFill="1" applyBorder="1" applyAlignment="1">
      <alignment horizontal="left"/>
    </xf>
    <xf numFmtId="0" fontId="0" fillId="5" borderId="5" xfId="0" quotePrefix="1" applyFill="1" applyBorder="1" applyAlignment="1">
      <alignment horizontal="left"/>
    </xf>
    <xf numFmtId="0" fontId="0" fillId="5" borderId="0" xfId="0" applyFill="1" applyAlignment="1">
      <alignment horizontal="left"/>
    </xf>
    <xf numFmtId="0" fontId="0" fillId="5" borderId="8" xfId="0" applyFill="1" applyBorder="1" applyAlignment="1">
      <alignment horizontal="left"/>
    </xf>
    <xf numFmtId="0" fontId="0" fillId="5" borderId="4" xfId="0" applyFill="1" applyBorder="1"/>
    <xf numFmtId="164" fontId="0" fillId="5" borderId="13" xfId="0" applyNumberFormat="1" applyFill="1" applyBorder="1" applyAlignment="1">
      <alignment horizontal="center"/>
    </xf>
    <xf numFmtId="0" fontId="0" fillId="5" borderId="13" xfId="0" applyFill="1" applyBorder="1" applyAlignment="1">
      <alignment horizontal="center"/>
    </xf>
    <xf numFmtId="0" fontId="0" fillId="5" borderId="7" xfId="0" applyFill="1" applyBorder="1" applyAlignment="1">
      <alignment horizontal="left"/>
    </xf>
    <xf numFmtId="0" fontId="0" fillId="5" borderId="6" xfId="0" applyFill="1" applyBorder="1"/>
    <xf numFmtId="164" fontId="0" fillId="5" borderId="14" xfId="0" applyNumberFormat="1" applyFill="1" applyBorder="1" applyAlignment="1">
      <alignment horizontal="center"/>
    </xf>
    <xf numFmtId="0" fontId="0" fillId="5" borderId="14" xfId="0" applyFill="1" applyBorder="1" applyAlignment="1">
      <alignment horizontal="center"/>
    </xf>
    <xf numFmtId="0" fontId="0" fillId="5" borderId="9" xfId="0" applyFill="1" applyBorder="1" applyAlignment="1">
      <alignment horizontal="left"/>
    </xf>
    <xf numFmtId="0" fontId="1" fillId="10" borderId="2" xfId="0" applyFont="1" applyFill="1" applyBorder="1" applyAlignment="1" applyProtection="1">
      <alignment vertical="center"/>
      <protection locked="0"/>
    </xf>
    <xf numFmtId="0" fontId="1" fillId="10" borderId="2" xfId="0" quotePrefix="1" applyFont="1" applyFill="1" applyBorder="1" applyProtection="1">
      <protection locked="0"/>
    </xf>
    <xf numFmtId="0" fontId="1" fillId="10" borderId="2" xfId="0" quotePrefix="1" applyFont="1" applyFill="1" applyBorder="1" applyAlignment="1" applyProtection="1">
      <alignment horizontal="left"/>
      <protection locked="0"/>
    </xf>
    <xf numFmtId="0" fontId="1" fillId="10" borderId="2" xfId="0" applyFont="1" applyFill="1" applyBorder="1" applyAlignment="1" applyProtection="1">
      <alignment vertical="center" wrapText="1"/>
      <protection locked="0"/>
    </xf>
    <xf numFmtId="0" fontId="0" fillId="10" borderId="2" xfId="0" applyFill="1" applyBorder="1" applyProtection="1">
      <protection locked="0"/>
    </xf>
    <xf numFmtId="0" fontId="0" fillId="10" borderId="3" xfId="0" applyFill="1" applyBorder="1" applyProtection="1">
      <protection locked="0"/>
    </xf>
    <xf numFmtId="0" fontId="0" fillId="6" borderId="5" xfId="0" applyFill="1" applyBorder="1"/>
    <xf numFmtId="0" fontId="0" fillId="6" borderId="0" xfId="0" applyFill="1" applyAlignment="1">
      <alignment horizontal="center"/>
    </xf>
    <xf numFmtId="0" fontId="0" fillId="6" borderId="8" xfId="0" applyFill="1" applyBorder="1" applyAlignment="1">
      <alignment horizontal="center"/>
    </xf>
    <xf numFmtId="0" fontId="0" fillId="0" borderId="0" xfId="0" applyProtection="1">
      <protection locked="0"/>
    </xf>
    <xf numFmtId="0" fontId="0" fillId="2" borderId="0" xfId="0" applyFill="1"/>
    <xf numFmtId="0" fontId="0" fillId="0" borderId="31" xfId="0" applyBorder="1" applyAlignment="1" applyProtection="1">
      <alignment vertical="center"/>
      <protection locked="0"/>
    </xf>
    <xf numFmtId="0" fontId="0" fillId="6" borderId="0" xfId="0" applyFill="1"/>
    <xf numFmtId="0" fontId="0" fillId="5" borderId="0" xfId="0" applyFill="1" applyProtection="1">
      <protection locked="0"/>
    </xf>
    <xf numFmtId="0" fontId="1" fillId="10" borderId="31" xfId="0" quotePrefix="1" applyFont="1" applyFill="1" applyBorder="1" applyProtection="1">
      <protection locked="0"/>
    </xf>
    <xf numFmtId="164" fontId="0" fillId="5" borderId="0" xfId="0" applyNumberFormat="1" applyFill="1" applyAlignment="1">
      <alignment horizontal="center"/>
    </xf>
    <xf numFmtId="0" fontId="0" fillId="5" borderId="0" xfId="0" applyFill="1" applyAlignment="1">
      <alignment horizontal="center"/>
    </xf>
    <xf numFmtId="0" fontId="0" fillId="3" borderId="5" xfId="0" applyFill="1" applyBorder="1"/>
    <xf numFmtId="0" fontId="0" fillId="7" borderId="4" xfId="0" applyFill="1" applyBorder="1" applyAlignment="1">
      <alignment horizontal="left"/>
    </xf>
    <xf numFmtId="0" fontId="0" fillId="3" borderId="5" xfId="0" applyFill="1" applyBorder="1" applyAlignment="1">
      <alignment wrapText="1"/>
    </xf>
    <xf numFmtId="0" fontId="0" fillId="7" borderId="5" xfId="0" applyFill="1" applyBorder="1" applyAlignment="1">
      <alignment horizontal="left"/>
    </xf>
    <xf numFmtId="0" fontId="0" fillId="7" borderId="5" xfId="0" applyFill="1" applyBorder="1" applyAlignment="1">
      <alignment vertical="top" wrapText="1"/>
    </xf>
    <xf numFmtId="0" fontId="0" fillId="7" borderId="2" xfId="0" applyFill="1" applyBorder="1"/>
    <xf numFmtId="0" fontId="0" fillId="3" borderId="6" xfId="0" applyFill="1" applyBorder="1"/>
    <xf numFmtId="0" fontId="0" fillId="7" borderId="2" xfId="0" applyFill="1" applyBorder="1" applyAlignment="1">
      <alignment horizontal="left"/>
    </xf>
    <xf numFmtId="0" fontId="0" fillId="7" borderId="2" xfId="0" applyFill="1" applyBorder="1" applyAlignment="1">
      <alignment horizontal="left" wrapText="1"/>
    </xf>
    <xf numFmtId="0" fontId="0" fillId="7" borderId="3" xfId="0" quotePrefix="1" applyFill="1" applyBorder="1" applyAlignment="1">
      <alignment horizontal="left"/>
    </xf>
    <xf numFmtId="0" fontId="0" fillId="0" borderId="33" xfId="0" applyBorder="1" applyAlignment="1">
      <alignment vertical="center"/>
    </xf>
    <xf numFmtId="0" fontId="0" fillId="0" borderId="35" xfId="0" applyBorder="1" applyAlignment="1">
      <alignment vertical="center" wrapText="1"/>
    </xf>
    <xf numFmtId="0" fontId="16" fillId="0" borderId="15" xfId="0" applyFont="1" applyBorder="1" applyAlignment="1">
      <alignment vertical="center" wrapText="1"/>
    </xf>
    <xf numFmtId="0" fontId="16" fillId="0" borderId="34" xfId="0" applyFont="1" applyBorder="1" applyAlignment="1">
      <alignment vertical="center" wrapText="1"/>
    </xf>
    <xf numFmtId="0" fontId="16" fillId="0" borderId="0" xfId="0" applyFont="1" applyAlignment="1">
      <alignment horizontal="left" vertical="center" wrapText="1"/>
    </xf>
    <xf numFmtId="0" fontId="16" fillId="0" borderId="21" xfId="0" applyFont="1" applyBorder="1"/>
    <xf numFmtId="0" fontId="18" fillId="2" borderId="36" xfId="1" applyFont="1" applyFill="1" applyBorder="1" applyAlignment="1">
      <alignment horizontal="center" vertical="center"/>
    </xf>
    <xf numFmtId="0" fontId="7" fillId="2" borderId="1" xfId="0" applyFont="1" applyFill="1" applyBorder="1" applyAlignment="1">
      <alignment horizontal="center" vertical="center"/>
    </xf>
    <xf numFmtId="0" fontId="19" fillId="11" borderId="31" xfId="0" applyFont="1" applyFill="1" applyBorder="1"/>
    <xf numFmtId="0" fontId="21" fillId="10" borderId="2" xfId="0" applyFont="1" applyFill="1" applyBorder="1" applyAlignment="1" applyProtection="1">
      <alignment vertical="center"/>
      <protection locked="0"/>
    </xf>
    <xf numFmtId="0" fontId="21" fillId="10" borderId="2" xfId="0" quotePrefix="1" applyFont="1" applyFill="1" applyBorder="1" applyProtection="1">
      <protection locked="0"/>
    </xf>
    <xf numFmtId="0" fontId="21" fillId="10" borderId="2" xfId="0" quotePrefix="1" applyFont="1" applyFill="1" applyBorder="1" applyAlignment="1" applyProtection="1">
      <alignment horizontal="left"/>
      <protection locked="0"/>
    </xf>
    <xf numFmtId="0" fontId="21" fillId="10" borderId="2" xfId="0" applyFont="1" applyFill="1" applyBorder="1" applyAlignment="1" applyProtection="1">
      <alignment vertical="center" wrapText="1"/>
      <protection locked="0"/>
    </xf>
    <xf numFmtId="2" fontId="0" fillId="0" borderId="20" xfId="0" applyNumberFormat="1" applyBorder="1" applyAlignment="1">
      <alignment horizontal="center" vertical="center"/>
    </xf>
    <xf numFmtId="2" fontId="0" fillId="0" borderId="23" xfId="0" applyNumberFormat="1" applyBorder="1" applyAlignment="1">
      <alignment horizontal="center" vertical="center"/>
    </xf>
    <xf numFmtId="2" fontId="0" fillId="0" borderId="32" xfId="0" applyNumberFormat="1" applyBorder="1" applyAlignment="1">
      <alignment horizontal="center" vertical="center"/>
    </xf>
    <xf numFmtId="2" fontId="0" fillId="0" borderId="25" xfId="0" applyNumberFormat="1" applyBorder="1" applyAlignment="1">
      <alignment horizontal="center" vertical="center"/>
    </xf>
    <xf numFmtId="2" fontId="11" fillId="3" borderId="0" xfId="0" applyNumberFormat="1" applyFont="1" applyFill="1" applyAlignment="1">
      <alignment horizontal="center" vertical="center"/>
    </xf>
    <xf numFmtId="14" fontId="0" fillId="0" borderId="21" xfId="0" applyNumberFormat="1" applyBorder="1" applyAlignment="1">
      <alignment horizontal="center"/>
    </xf>
    <xf numFmtId="14" fontId="0" fillId="0" borderId="26" xfId="0" applyNumberFormat="1" applyBorder="1" applyAlignment="1">
      <alignment horizontal="center"/>
    </xf>
    <xf numFmtId="0" fontId="7" fillId="10" borderId="2" xfId="0" applyFont="1" applyFill="1" applyBorder="1" applyAlignment="1">
      <alignment horizontal="center" vertical="center"/>
    </xf>
    <xf numFmtId="0" fontId="7" fillId="10" borderId="3" xfId="0" applyFont="1" applyFill="1" applyBorder="1" applyAlignment="1">
      <alignment horizontal="center" vertical="center"/>
    </xf>
    <xf numFmtId="0" fontId="22" fillId="0" borderId="0" xfId="0" applyFont="1"/>
    <xf numFmtId="0" fontId="23" fillId="10" borderId="2" xfId="1" applyFont="1" applyFill="1" applyBorder="1" applyAlignment="1" applyProtection="1">
      <alignment vertical="center"/>
      <protection locked="0"/>
    </xf>
    <xf numFmtId="0" fontId="9" fillId="0" borderId="0" xfId="1" applyNumberFormat="1" applyProtection="1">
      <protection locked="0"/>
    </xf>
    <xf numFmtId="0" fontId="9" fillId="10" borderId="2" xfId="1" applyFill="1" applyBorder="1" applyAlignment="1" applyProtection="1">
      <alignment vertical="center"/>
      <protection locked="0"/>
    </xf>
    <xf numFmtId="0" fontId="2" fillId="5" borderId="0" xfId="0" applyFont="1" applyFill="1" applyAlignment="1">
      <alignment horizontal="left" wrapText="1"/>
    </xf>
    <xf numFmtId="0" fontId="2" fillId="5" borderId="8" xfId="0" applyFont="1" applyFill="1" applyBorder="1" applyAlignment="1">
      <alignment horizontal="left" wrapText="1"/>
    </xf>
    <xf numFmtId="0" fontId="7" fillId="3" borderId="11" xfId="0" applyFont="1" applyFill="1" applyBorder="1" applyAlignment="1">
      <alignment horizontal="left"/>
    </xf>
    <xf numFmtId="0" fontId="7" fillId="3" borderId="12" xfId="0" applyFont="1" applyFill="1" applyBorder="1" applyAlignment="1">
      <alignment horizontal="left"/>
    </xf>
    <xf numFmtId="0" fontId="7" fillId="6" borderId="29" xfId="0" applyFont="1" applyFill="1" applyBorder="1" applyAlignment="1">
      <alignment horizontal="center" vertical="center" wrapText="1"/>
    </xf>
    <xf numFmtId="0" fontId="7" fillId="6" borderId="30" xfId="0" applyFont="1" applyFill="1" applyBorder="1" applyAlignment="1">
      <alignment horizontal="center" vertical="center" wrapText="1"/>
    </xf>
    <xf numFmtId="0" fontId="13" fillId="0" borderId="28" xfId="0" applyFont="1" applyBorder="1" applyAlignment="1">
      <alignment horizontal="center" wrapText="1"/>
    </xf>
    <xf numFmtId="0" fontId="13" fillId="0" borderId="29" xfId="0" applyFont="1" applyBorder="1" applyAlignment="1">
      <alignment horizontal="center" wrapText="1"/>
    </xf>
    <xf numFmtId="0" fontId="13" fillId="0" borderId="30" xfId="0" applyFont="1" applyBorder="1" applyAlignment="1">
      <alignment horizontal="center" wrapText="1"/>
    </xf>
    <xf numFmtId="0" fontId="7" fillId="0" borderId="5" xfId="0" applyFont="1" applyBorder="1" applyAlignment="1">
      <alignment horizontal="left" wrapText="1"/>
    </xf>
    <xf numFmtId="0" fontId="7" fillId="0" borderId="0" xfId="0" applyFont="1" applyAlignment="1">
      <alignment horizontal="left" wrapText="1"/>
    </xf>
    <xf numFmtId="0" fontId="7" fillId="0" borderId="8" xfId="0" applyFont="1" applyBorder="1" applyAlignment="1">
      <alignment horizontal="left" wrapText="1"/>
    </xf>
    <xf numFmtId="0" fontId="0" fillId="4" borderId="10"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2" fillId="5" borderId="5" xfId="0" applyFont="1" applyFill="1" applyBorder="1" applyAlignment="1">
      <alignment horizontal="left" wrapText="1"/>
    </xf>
    <xf numFmtId="0" fontId="2" fillId="5" borderId="0" xfId="0" applyFont="1" applyFill="1" applyAlignment="1">
      <alignment horizontal="left" wrapText="1"/>
    </xf>
    <xf numFmtId="0" fontId="2" fillId="5" borderId="8" xfId="0" applyFont="1" applyFill="1" applyBorder="1" applyAlignment="1">
      <alignment horizontal="left" wrapText="1"/>
    </xf>
    <xf numFmtId="0" fontId="7" fillId="3" borderId="10" xfId="0" applyFont="1" applyFill="1" applyBorder="1" applyAlignment="1">
      <alignment horizontal="right"/>
    </xf>
    <xf numFmtId="0" fontId="7" fillId="3" borderId="11" xfId="0" applyFont="1" applyFill="1" applyBorder="1" applyAlignment="1">
      <alignment horizontal="right"/>
    </xf>
    <xf numFmtId="0" fontId="7" fillId="3" borderId="12" xfId="0" applyFont="1" applyFill="1" applyBorder="1" applyAlignment="1">
      <alignment horizontal="right"/>
    </xf>
    <xf numFmtId="0" fontId="7" fillId="3" borderId="10" xfId="0" applyFont="1" applyFill="1" applyBorder="1" applyAlignment="1">
      <alignment horizontal="left"/>
    </xf>
    <xf numFmtId="0" fontId="0" fillId="0" borderId="0" xfId="0" applyNumberFormat="1" applyProtection="1">
      <protection locked="0"/>
    </xf>
    <xf numFmtId="0" fontId="6" fillId="0" borderId="0" xfId="0" applyFont="1" applyProtection="1">
      <protection locked="0"/>
    </xf>
    <xf numFmtId="0" fontId="7" fillId="0" borderId="0" xfId="0" applyFont="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colors>
    <mruColors>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2</xdr:row>
          <xdr:rowOff>133350</xdr:rowOff>
        </xdr:from>
        <xdr:to>
          <xdr:col>18</xdr:col>
          <xdr:colOff>476250</xdr:colOff>
          <xdr:row>4</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800" b="0" i="0" u="none" strike="noStrike" baseline="0">
                  <a:solidFill>
                    <a:srgbClr val="993366"/>
                  </a:solidFill>
                  <a:latin typeface="BritishRailDarkNormal"/>
                </a:rPr>
                <a:t>New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2</xdr:row>
          <xdr:rowOff>104775</xdr:rowOff>
        </xdr:from>
        <xdr:to>
          <xdr:col>2</xdr:col>
          <xdr:colOff>1714500</xdr:colOff>
          <xdr:row>4</xdr:row>
          <xdr:rowOff>66675</xdr:rowOff>
        </xdr:to>
        <xdr:sp macro="" textlink="">
          <xdr:nvSpPr>
            <xdr:cNvPr id="72705" name="btn_Select_EDL_File" hidden="1">
              <a:extLst>
                <a:ext uri="{63B3BB69-23CF-44E3-9099-C40C66FF867C}">
                  <a14:compatExt spid="_x0000_s72705"/>
                </a:ext>
                <a:ext uri="{FF2B5EF4-FFF2-40B4-BE49-F238E27FC236}">
                  <a16:creationId xmlns:a16="http://schemas.microsoft.com/office/drawing/2014/main" id="{B07BB158-23F9-48A4-8898-A1B3FE7792A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3600450</xdr:colOff>
          <xdr:row>2</xdr:row>
          <xdr:rowOff>104775</xdr:rowOff>
        </xdr:from>
        <xdr:to>
          <xdr:col>2</xdr:col>
          <xdr:colOff>5238750</xdr:colOff>
          <xdr:row>4</xdr:row>
          <xdr:rowOff>95250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D17D73E6-C6CA-45B5-B16F-09225544CEA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ea typeface="Calibri"/>
                  <a:cs typeface="Calibri"/>
                </a:rPr>
                <a:t>Preserve Sheet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2</xdr:row>
          <xdr:rowOff>104775</xdr:rowOff>
        </xdr:from>
        <xdr:to>
          <xdr:col>2</xdr:col>
          <xdr:colOff>1714500</xdr:colOff>
          <xdr:row>4</xdr:row>
          <xdr:rowOff>66675</xdr:rowOff>
        </xdr:to>
        <xdr:sp macro="" textlink="">
          <xdr:nvSpPr>
            <xdr:cNvPr id="1031" name="btn_Select_EDL_File" hidden="1">
              <a:extLst>
                <a:ext uri="{63B3BB69-23CF-44E3-9099-C40C66FF867C}">
                  <a14:compatExt spid="_x0000_s1031"/>
                </a:ext>
                <a:ext uri="{FF2B5EF4-FFF2-40B4-BE49-F238E27FC236}">
                  <a16:creationId xmlns:a16="http://schemas.microsoft.com/office/drawing/2014/main" id="{00000000-0008-0000-0A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3600450</xdr:colOff>
          <xdr:row>2</xdr:row>
          <xdr:rowOff>104775</xdr:rowOff>
        </xdr:from>
        <xdr:to>
          <xdr:col>2</xdr:col>
          <xdr:colOff>5238750</xdr:colOff>
          <xdr:row>4</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A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ea typeface="Calibri"/>
                  <a:cs typeface="Calibri"/>
                </a:rPr>
                <a:t>Preserve Sheet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98398</xdr:colOff>
      <xdr:row>0</xdr:row>
      <xdr:rowOff>180974</xdr:rowOff>
    </xdr:from>
    <xdr:to>
      <xdr:col>26</xdr:col>
      <xdr:colOff>266700</xdr:colOff>
      <xdr:row>36</xdr:row>
      <xdr:rowOff>49751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1004523" y="180974"/>
          <a:ext cx="5988077" cy="6860127"/>
        </a:xfrm>
        <a:prstGeom prst="rect">
          <a:avLst/>
        </a:prstGeom>
      </xdr:spPr>
    </xdr:pic>
    <xdr:clientData/>
  </xdr:twoCellAnchor>
  <xdr:twoCellAnchor editAs="oneCell">
    <xdr:from>
      <xdr:col>0</xdr:col>
      <xdr:colOff>47625</xdr:colOff>
      <xdr:row>13</xdr:row>
      <xdr:rowOff>57150</xdr:rowOff>
    </xdr:from>
    <xdr:to>
      <xdr:col>16</xdr:col>
      <xdr:colOff>153961</xdr:colOff>
      <xdr:row>29</xdr:row>
      <xdr:rowOff>123825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47625" y="2667000"/>
          <a:ext cx="10402861" cy="311467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imeline 1_1" backgroundRefresh="0" connectionId="136" xr16:uid="{6F0069E3-7851-4EBB-9B1D-1B40F41C0CF0}" autoFormatId="0" applyNumberFormats="0" applyBorderFormats="0" applyFontFormats="1" applyPatternFormats="1" applyAlignmentFormats="0" applyWidthHeightFormats="0">
  <queryTableRefresh preserveSortFilterLayout="0" nextId="11">
    <queryTableFields count="10">
      <queryTableField id="1" name="Number"/>
      <queryTableField id="2" name="Chapter"/>
      <queryTableField id="3" name="Start Hr"/>
      <queryTableField id="4" name="Start Min"/>
      <queryTableField id="5" name="Start Sec"/>
      <queryTableField id="6" name="Start mSec"/>
      <queryTableField id="7" name="End Hr"/>
      <queryTableField id="8" name="End Min"/>
      <queryTableField id="9" name="End Sec"/>
      <queryTableField id="10" name="End mSec"/>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hyperlink" Target="https://youtu.be/onbkIkp4f94"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youtu.be/hDN08tzwWU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9864-8923-4F73-8FE4-4CA5482A614E}">
  <sheetPr codeName="Sheet1">
    <tabColor rgb="FFFFFF00"/>
  </sheetPr>
  <dimension ref="A1:S14"/>
  <sheetViews>
    <sheetView workbookViewId="0">
      <selection activeCell="B11" sqref="B11"/>
    </sheetView>
  </sheetViews>
  <sheetFormatPr defaultRowHeight="15"/>
  <cols>
    <col min="1" max="1" width="12.5703125" customWidth="1"/>
    <col min="16" max="16" width="13.85546875" bestFit="1" customWidth="1"/>
    <col min="19" max="19" width="14.140625" customWidth="1"/>
  </cols>
  <sheetData>
    <row r="1" spans="1:19" ht="35.25" customHeight="1" thickBot="1">
      <c r="A1" s="84" t="str">
        <f>"Rev: " &amp; 'Revision Control'!B1</f>
        <v>Rev: 1.03</v>
      </c>
      <c r="B1" s="110" t="s">
        <v>105</v>
      </c>
      <c r="C1" s="111"/>
      <c r="D1" s="111"/>
      <c r="E1" s="111"/>
      <c r="F1" s="111"/>
      <c r="G1" s="111"/>
      <c r="H1" s="111"/>
      <c r="I1" s="111"/>
      <c r="J1" s="111"/>
      <c r="K1" s="111"/>
      <c r="L1" s="111"/>
      <c r="M1" s="111"/>
      <c r="N1" s="111"/>
      <c r="O1" s="111"/>
      <c r="P1" s="111"/>
      <c r="Q1" s="111"/>
      <c r="R1" s="111"/>
      <c r="S1" s="112"/>
    </row>
    <row r="2" spans="1:19" ht="84" customHeight="1" thickBot="1">
      <c r="A2" s="85"/>
      <c r="B2" s="108" t="s">
        <v>43</v>
      </c>
      <c r="C2" s="108"/>
      <c r="D2" s="108"/>
      <c r="E2" s="108"/>
      <c r="F2" s="108"/>
      <c r="G2" s="108"/>
      <c r="H2" s="108"/>
      <c r="I2" s="108"/>
      <c r="J2" s="108"/>
      <c r="K2" s="108"/>
      <c r="L2" s="108"/>
      <c r="M2" s="108"/>
      <c r="N2" s="108"/>
      <c r="O2" s="108"/>
      <c r="P2" s="108"/>
      <c r="Q2" s="108"/>
      <c r="R2" s="108"/>
      <c r="S2" s="109"/>
    </row>
    <row r="3" spans="1:19" ht="18.75">
      <c r="A3" s="85" t="s">
        <v>102</v>
      </c>
      <c r="B3" s="2" t="s">
        <v>106</v>
      </c>
      <c r="C3" s="2"/>
      <c r="D3" s="2"/>
      <c r="E3" s="2"/>
      <c r="F3" s="2"/>
      <c r="G3" s="2"/>
      <c r="H3" s="2"/>
      <c r="I3" s="2"/>
      <c r="J3" s="2"/>
      <c r="K3" s="2"/>
      <c r="L3" s="2"/>
      <c r="M3" s="2"/>
      <c r="N3" s="2"/>
      <c r="O3" s="2"/>
      <c r="P3" s="2"/>
      <c r="Q3" s="2"/>
      <c r="R3" s="2"/>
      <c r="S3" s="6"/>
    </row>
    <row r="4" spans="1:19" ht="18.75">
      <c r="A4" s="98">
        <v>1</v>
      </c>
      <c r="B4" s="2" t="s">
        <v>230</v>
      </c>
      <c r="C4" s="2"/>
      <c r="D4" s="2"/>
      <c r="E4" s="2"/>
      <c r="F4" s="2"/>
      <c r="G4" s="2"/>
      <c r="H4" s="2"/>
      <c r="I4" s="2"/>
      <c r="J4" s="2"/>
      <c r="K4" s="2"/>
      <c r="L4" s="2"/>
      <c r="P4" s="100"/>
      <c r="S4" s="6"/>
    </row>
    <row r="5" spans="1:19" ht="18.75">
      <c r="A5" s="98">
        <v>2</v>
      </c>
      <c r="B5" s="2" t="s">
        <v>103</v>
      </c>
      <c r="C5" s="2"/>
      <c r="D5" s="2"/>
      <c r="E5" s="2"/>
      <c r="F5" s="2"/>
      <c r="G5" s="2"/>
      <c r="H5" s="2"/>
      <c r="I5" s="2"/>
      <c r="J5" s="2"/>
      <c r="K5" s="2"/>
      <c r="L5" s="2"/>
      <c r="S5" s="6"/>
    </row>
    <row r="6" spans="1:19" ht="42" customHeight="1">
      <c r="A6" s="98">
        <v>3</v>
      </c>
      <c r="B6" s="113" t="s">
        <v>231</v>
      </c>
      <c r="C6" s="128"/>
      <c r="D6" s="128"/>
      <c r="E6" s="128"/>
      <c r="F6" s="128"/>
      <c r="G6" s="128"/>
      <c r="H6" s="128"/>
      <c r="I6" s="128"/>
      <c r="J6" s="128"/>
      <c r="K6" s="128"/>
      <c r="L6" s="128"/>
      <c r="M6" s="128"/>
      <c r="N6" s="128"/>
      <c r="O6" s="128"/>
      <c r="P6" s="128"/>
      <c r="Q6" s="128"/>
      <c r="R6" s="128"/>
      <c r="S6" s="115"/>
    </row>
    <row r="7" spans="1:19" ht="18.75">
      <c r="A7" s="98">
        <v>4</v>
      </c>
      <c r="B7" s="2" t="s">
        <v>232</v>
      </c>
      <c r="C7" s="2"/>
      <c r="D7" s="2"/>
      <c r="E7" s="2"/>
      <c r="F7" s="2"/>
      <c r="G7" s="2"/>
      <c r="H7" s="2"/>
      <c r="I7" s="2"/>
      <c r="J7" s="2"/>
      <c r="K7" s="2"/>
      <c r="L7" s="2"/>
      <c r="S7" s="6"/>
    </row>
    <row r="8" spans="1:19" ht="18.75">
      <c r="A8" s="98">
        <v>5</v>
      </c>
      <c r="B8" s="2" t="s">
        <v>152</v>
      </c>
      <c r="S8" s="6"/>
    </row>
    <row r="9" spans="1:19" ht="36" customHeight="1">
      <c r="A9" s="98">
        <v>6</v>
      </c>
      <c r="B9" s="113" t="s">
        <v>233</v>
      </c>
      <c r="C9" s="114"/>
      <c r="D9" s="114"/>
      <c r="E9" s="114"/>
      <c r="F9" s="114"/>
      <c r="G9" s="114"/>
      <c r="H9" s="114"/>
      <c r="I9" s="114"/>
      <c r="J9" s="114"/>
      <c r="K9" s="114"/>
      <c r="L9" s="114"/>
      <c r="M9" s="114"/>
      <c r="N9" s="114"/>
      <c r="O9" s="114"/>
      <c r="P9" s="114"/>
      <c r="Q9" s="114"/>
      <c r="R9" s="114"/>
      <c r="S9" s="115"/>
    </row>
    <row r="10" spans="1:19" ht="19.5" thickBot="1">
      <c r="A10" s="99">
        <v>7</v>
      </c>
      <c r="B10" s="7" t="s">
        <v>136</v>
      </c>
      <c r="C10" s="8"/>
      <c r="D10" s="8"/>
      <c r="E10" s="8"/>
      <c r="F10" s="8"/>
      <c r="G10" s="8"/>
      <c r="H10" s="8"/>
      <c r="I10" s="8"/>
      <c r="J10" s="8"/>
      <c r="K10" s="8"/>
      <c r="L10" s="8"/>
      <c r="M10" s="8"/>
      <c r="N10" s="8"/>
      <c r="O10" s="8"/>
      <c r="P10" s="8"/>
      <c r="Q10" s="8"/>
      <c r="R10" s="8"/>
      <c r="S10" s="9"/>
    </row>
    <row r="11" spans="1:19" ht="18.75">
      <c r="A11" s="2"/>
      <c r="B11" s="2"/>
    </row>
    <row r="13" spans="1:19" ht="15.75" thickBot="1"/>
    <row r="14" spans="1:19" ht="24" thickBot="1">
      <c r="A14" s="86" t="s">
        <v>107</v>
      </c>
      <c r="B14" s="106" t="s">
        <v>30</v>
      </c>
      <c r="C14" s="106"/>
      <c r="D14" s="106"/>
      <c r="E14" s="106"/>
      <c r="F14" s="106"/>
      <c r="G14" s="106"/>
      <c r="H14" s="106"/>
      <c r="I14" s="106"/>
      <c r="J14" s="106"/>
      <c r="K14" s="106"/>
      <c r="L14" s="106"/>
      <c r="M14" s="106"/>
      <c r="N14" s="106"/>
      <c r="O14" s="106"/>
      <c r="P14" s="107"/>
    </row>
  </sheetData>
  <mergeCells count="5">
    <mergeCell ref="B14:P14"/>
    <mergeCell ref="B2:S2"/>
    <mergeCell ref="B1:S1"/>
    <mergeCell ref="B9:S9"/>
    <mergeCell ref="B6:S6"/>
  </mergeCells>
  <hyperlinks>
    <hyperlink ref="A1" location="'Revision Control'!A1" display="'Revision Control'!A1" xr:uid="{B9E4134F-3E0A-4141-BDFA-A7C773B712F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CopyTemplate">
                <anchor moveWithCells="1" sizeWithCells="1">
                  <from>
                    <xdr:col>16</xdr:col>
                    <xdr:colOff>28575</xdr:colOff>
                    <xdr:row>2</xdr:row>
                    <xdr:rowOff>133350</xdr:rowOff>
                  </from>
                  <to>
                    <xdr:col>18</xdr:col>
                    <xdr:colOff>476250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3738-2E30-414D-A876-E62E53C7D28B}">
  <sheetPr codeName="Sheet12">
    <tabColor rgb="FFFFFF00"/>
  </sheetPr>
  <dimension ref="A1:N44"/>
  <sheetViews>
    <sheetView tabSelected="1" workbookViewId="0">
      <selection activeCell="B2" sqref="B2"/>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103" t="s">
        <v>188</v>
      </c>
      <c r="C2" s="62" t="s">
        <v>215</v>
      </c>
    </row>
    <row r="3" spans="1:14">
      <c r="A3" s="4" t="s">
        <v>23</v>
      </c>
      <c r="B3" s="52" t="s">
        <v>189</v>
      </c>
    </row>
    <row r="4" spans="1:14">
      <c r="A4" s="4" t="s">
        <v>24</v>
      </c>
      <c r="B4" s="52" t="s">
        <v>190</v>
      </c>
      <c r="D4"/>
    </row>
    <row r="5" spans="1:14">
      <c r="A5" s="4" t="s">
        <v>15</v>
      </c>
      <c r="B5" s="52" t="s">
        <v>229</v>
      </c>
      <c r="D5"/>
    </row>
    <row r="6" spans="1:14" ht="15.75" thickBot="1">
      <c r="A6" s="5" t="s">
        <v>46</v>
      </c>
      <c r="B6" s="53">
        <v>16</v>
      </c>
      <c r="C6" s="61" t="s">
        <v>97</v>
      </c>
      <c r="D6"/>
    </row>
    <row r="7" spans="1:14" ht="15.75" thickBot="1">
      <c r="A7" s="4" t="s">
        <v>25</v>
      </c>
      <c r="B7" s="52" t="s">
        <v>227</v>
      </c>
      <c r="C7" s="65" t="str">
        <f ca="1">RIGHT(CELL("filename"),LEN(CELL("filename"))-FIND("]",CELL("filename")))</f>
        <v>Arduino_SIG_Zoom_2025_12_09</v>
      </c>
    </row>
    <row r="8" spans="1:14" ht="48" customHeight="1" thickBot="1">
      <c r="A8" s="4" t="s">
        <v>26</v>
      </c>
      <c r="B8" s="54" t="s">
        <v>228</v>
      </c>
    </row>
    <row r="9" spans="1:14" ht="19.5" thickBot="1">
      <c r="A9" s="28" t="s">
        <v>19</v>
      </c>
      <c r="B9" s="30" t="s">
        <v>9</v>
      </c>
      <c r="C9" s="29" t="s">
        <v>8</v>
      </c>
      <c r="D9" s="116" t="s">
        <v>20</v>
      </c>
      <c r="E9" s="117"/>
      <c r="F9" s="117"/>
      <c r="G9" s="117"/>
      <c r="H9" s="117"/>
      <c r="I9" s="117"/>
      <c r="J9" s="117"/>
      <c r="K9" s="117"/>
      <c r="L9" s="117"/>
      <c r="M9" s="117"/>
      <c r="N9" s="118"/>
    </row>
    <row r="10" spans="1:14" ht="15.75" thickBot="1">
      <c r="A10" s="55" t="str">
        <f>IF(('EDL Processor'!C2+'EDL Processor'!D2+'EDL Processor'!E2) = 0,"00:00:00 Start", TEXT('EDL Processor'!C2,"00") &amp; ":"  &amp; TEXT('EDL Processor'!D2,"00") &amp;  ":"  &amp; TEXT('EDL Processor'!E2,"00") &amp; " " &amp;  'EDL Processor'!B2)</f>
        <v>00:00:06 Start</v>
      </c>
      <c r="B10" s="68" t="str">
        <f>OneLineDescription</f>
        <v>2025 Year end review</v>
      </c>
      <c r="C10" s="69" t="str">
        <f>WRAPbox</f>
        <v>&lt;WRAP box&gt;</v>
      </c>
      <c r="D10" s="57" t="s">
        <v>4</v>
      </c>
      <c r="E10" s="58" t="s">
        <v>0</v>
      </c>
      <c r="F10" s="58" t="s">
        <v>1</v>
      </c>
      <c r="G10" s="58" t="s">
        <v>2</v>
      </c>
      <c r="H10" s="59" t="s">
        <v>3</v>
      </c>
    </row>
    <row r="11" spans="1:14" ht="45">
      <c r="A11" s="55" t="str">
        <f>IF(('EDL Processor'!C3+'EDL Processor'!D3+'EDL Processor'!E3) = 0,"", TEXT('EDL Processor'!C3,"00") &amp; ":"  &amp; TEXT('EDL Processor'!D3,"00") &amp;  ":"  &amp; TEXT('EDL Processor'!E3,"00") &amp; " " &amp;  'EDL Processor'!B3)</f>
        <v>00:01:32 Hardware (Processors) Covered</v>
      </c>
      <c r="B11" s="70" t="str">
        <f xml:space="preserve"> YT_Show_More</f>
        <v>Press 'Show More' to review the timeline and jump to a specific chapter.
Timeline:</v>
      </c>
      <c r="C11" s="71" t="str">
        <f xml:space="preserve"> "=====" &amp; BoxTitle &amp; "====="</f>
        <v>=====Arduino SIG Zoom=====</v>
      </c>
      <c r="D11" s="43">
        <f t="shared" ref="D11:D30" si="0">(3600*E11)+(60*F11)+G11</f>
        <v>6</v>
      </c>
      <c r="E11" s="44" t="str">
        <f t="shared" ref="E11:E30" si="1">MID($A10,1,2)</f>
        <v>00</v>
      </c>
      <c r="F11" s="45" t="str">
        <f>MID($A10,4,2)</f>
        <v>00</v>
      </c>
      <c r="G11" s="45" t="str">
        <f>MID($A10,7,2)</f>
        <v>06</v>
      </c>
      <c r="H11" s="46" t="str">
        <f>MID($A10,10,99)</f>
        <v>Start</v>
      </c>
      <c r="I11" s="33" t="s">
        <v>7</v>
      </c>
      <c r="J11" s="119" t="s">
        <v>11</v>
      </c>
      <c r="K11" s="120"/>
      <c r="L11" s="120"/>
      <c r="M11" s="120"/>
      <c r="N11" s="121"/>
    </row>
    <row r="12" spans="1:14">
      <c r="A12" s="55" t="str">
        <f>IF(('EDL Processor'!C4+'EDL Processor'!D4+'EDL Processor'!E4) = 0,"", TEXT('EDL Processor'!C4,"00") &amp; ":"  &amp; TEXT('EDL Processor'!D4,"00") &amp;  ":"  &amp; TEXT('EDL Processor'!E4,"00") &amp; " " &amp;  'EDL Processor'!B4)</f>
        <v>00:02:53 Topics Covered During Year</v>
      </c>
      <c r="B12" s="68" t="str">
        <f>IF(A10="Paste timeline here ONLY","",IF(ISBLANK(A10),"",A10))</f>
        <v>00:00:06 Start</v>
      </c>
      <c r="C12" s="71" t="str">
        <f xml:space="preserve"> "====" &amp; txtDateTime &amp; "===="</f>
        <v>====Dec 9 2025====</v>
      </c>
      <c r="D12" s="36">
        <f t="shared" si="0"/>
        <v>92</v>
      </c>
      <c r="E12" s="66" t="str">
        <f t="shared" si="1"/>
        <v>00</v>
      </c>
      <c r="F12" s="67" t="str">
        <f>MID($A11,4,2)</f>
        <v>01</v>
      </c>
      <c r="G12" s="67" t="str">
        <f>MID($A11,7,2)</f>
        <v>32</v>
      </c>
      <c r="H12" s="42" t="str">
        <f>MID($A11,10,99)</f>
        <v>Hardware (Processors) Covered</v>
      </c>
      <c r="I12" s="33" t="s">
        <v>10</v>
      </c>
      <c r="J12" s="36" t="s">
        <v>12</v>
      </c>
      <c r="K12" s="104"/>
      <c r="L12" s="104"/>
      <c r="M12" s="104"/>
      <c r="N12" s="105"/>
    </row>
    <row r="13" spans="1:14">
      <c r="A13" s="55" t="str">
        <f>IF(('EDL Processor'!C5+'EDL Processor'!D5+'EDL Processor'!E5) = 0,"", TEXT('EDL Processor'!C5,"00") &amp; ":"  &amp; TEXT('EDL Processor'!D5,"00") &amp;  ":"  &amp; TEXT('EDL Processor'!E5,"00") &amp; " " &amp;  'EDL Processor'!B5)</f>
        <v>00:04:00 John' s Highlights for 2025</v>
      </c>
      <c r="B13" s="68" t="str">
        <f>IF(ISBLANK(A11),"",A11)</f>
        <v>00:01:32 Hardware (Processors) Covered</v>
      </c>
      <c r="C13" s="71" t="str">
        <f xml:space="preserve"> "===" &amp; VideoTitle &amp; "==="</f>
        <v>===2025 Year End Review===</v>
      </c>
      <c r="D13" s="36">
        <f t="shared" si="0"/>
        <v>173</v>
      </c>
      <c r="E13" s="66" t="str">
        <f t="shared" si="1"/>
        <v>00</v>
      </c>
      <c r="F13" s="67" t="str">
        <f t="shared" ref="F13:F30" si="2">MID($A12,4,2)</f>
        <v>02</v>
      </c>
      <c r="G13" s="67" t="str">
        <f t="shared" ref="G13:G30" si="3">MID($A12,7,2)</f>
        <v>53</v>
      </c>
      <c r="H13" s="42" t="str">
        <f t="shared" ref="H13:H30" si="4">MID($A12,10,99)</f>
        <v>Topics Covered During Year</v>
      </c>
      <c r="I13" s="33" t="s">
        <v>10</v>
      </c>
      <c r="J13" s="36" t="s">
        <v>13</v>
      </c>
      <c r="K13" s="37"/>
      <c r="L13" s="37"/>
      <c r="M13" s="37"/>
      <c r="N13" s="38"/>
    </row>
    <row r="14" spans="1:14">
      <c r="A14" s="55" t="str">
        <f>IF(('EDL Processor'!C6+'EDL Processor'!D6+'EDL Processor'!E6) = 0,"", TEXT('EDL Processor'!C6,"00") &amp; ":"  &amp; TEXT('EDL Processor'!D6,"00") &amp;  ":"  &amp; TEXT('EDL Processor'!E6,"00") &amp; " " &amp;  'EDL Processor'!B6)</f>
        <v>00:04:44 Personal Challenges</v>
      </c>
      <c r="B14" s="68" t="str">
        <f t="shared" ref="B14:B31" si="5">IF(ISBLANK(A12),"",A12)</f>
        <v>00:02:53 Topics Covered During Year</v>
      </c>
      <c r="C14" s="71" t="str">
        <f>WRAPcolumn</f>
        <v>&lt;WRAP column&gt;</v>
      </c>
      <c r="D14" s="36">
        <f t="shared" si="0"/>
        <v>240</v>
      </c>
      <c r="E14" s="66" t="str">
        <f t="shared" si="1"/>
        <v>00</v>
      </c>
      <c r="F14" s="67" t="str">
        <f t="shared" si="2"/>
        <v>04</v>
      </c>
      <c r="G14" s="67" t="str">
        <f t="shared" si="3"/>
        <v>00</v>
      </c>
      <c r="H14" s="42" t="str">
        <f t="shared" si="4"/>
        <v>John' s Highlights for 2025</v>
      </c>
      <c r="I14" s="33" t="s">
        <v>10</v>
      </c>
      <c r="J14" s="36" t="s">
        <v>14</v>
      </c>
      <c r="K14" s="37"/>
      <c r="L14" s="37"/>
      <c r="M14" s="37"/>
      <c r="N14" s="38"/>
    </row>
    <row r="15" spans="1:14">
      <c r="A15" s="55" t="str">
        <f>IF(('EDL Processor'!C7+'EDL Processor'!D7+'EDL Processor'!E7) = 0,"", TEXT('EDL Processor'!C7,"00") &amp; ":"  &amp; TEXT('EDL Processor'!D7,"00") &amp;  ":"  &amp; TEXT('EDL Processor'!E7,"00") &amp; " " &amp;  'EDL Processor'!B7)</f>
        <v>00:08:06 Where from Here? (users perspective)</v>
      </c>
      <c r="B15" s="68" t="str">
        <f t="shared" si="5"/>
        <v>00:04:00 John' s Highlights for 2025</v>
      </c>
      <c r="C15" s="71" t="str">
        <f>WRAPcolumnhalf</f>
        <v>&lt;WRAP column half&gt;</v>
      </c>
      <c r="D15" s="36">
        <f t="shared" si="0"/>
        <v>284</v>
      </c>
      <c r="E15" s="66" t="str">
        <f t="shared" si="1"/>
        <v>00</v>
      </c>
      <c r="F15" s="67" t="str">
        <f t="shared" si="2"/>
        <v>04</v>
      </c>
      <c r="G15" s="67" t="str">
        <f t="shared" si="3"/>
        <v>44</v>
      </c>
      <c r="H15" s="42" t="str">
        <f t="shared" si="4"/>
        <v>Personal Challenges</v>
      </c>
      <c r="I15" s="33" t="s">
        <v>10</v>
      </c>
      <c r="J15" s="39" t="s">
        <v>16</v>
      </c>
      <c r="K15" s="37"/>
      <c r="L15" s="37"/>
      <c r="M15" s="37"/>
      <c r="N15" s="38"/>
    </row>
    <row r="16" spans="1:14">
      <c r="A16" s="55" t="str">
        <f>IF(('EDL Processor'!C8+'EDL Processor'!D8+'EDL Processor'!E8) = 0,"", TEXT('EDL Processor'!C8,"00") &amp; ":"  &amp; TEXT('EDL Processor'!D8,"00") &amp;  ":"  &amp; TEXT('EDL Processor'!E8,"00") &amp; " " &amp;  'EDL Processor'!B8)</f>
        <v>00:08:56 Where from Here? (Developers perspective)</v>
      </c>
      <c r="B16" s="68" t="str">
        <f t="shared" si="5"/>
        <v>00:04:44 Personal Challenges</v>
      </c>
      <c r="C16" s="72" t="str">
        <f>LongDescription</f>
        <v xml:space="preserve">This zoom chat started off with John giving us a quick year end review presentation. This lasted about 15 minutes and was followed by another 45 minutes of general chat, which by general consensus was not worthy enough to be published. </v>
      </c>
      <c r="D16" s="36">
        <f t="shared" si="0"/>
        <v>486</v>
      </c>
      <c r="E16" s="66" t="str">
        <f t="shared" si="1"/>
        <v>00</v>
      </c>
      <c r="F16" s="67" t="str">
        <f t="shared" si="2"/>
        <v>08</v>
      </c>
      <c r="G16" s="67" t="str">
        <f t="shared" si="3"/>
        <v>06</v>
      </c>
      <c r="H16" s="42" t="str">
        <f t="shared" si="4"/>
        <v>Where from Here? (users perspective)</v>
      </c>
      <c r="I16" s="33" t="s">
        <v>10</v>
      </c>
      <c r="J16" s="40" t="s">
        <v>21</v>
      </c>
      <c r="K16" s="41"/>
      <c r="L16" s="41"/>
      <c r="M16" s="41"/>
      <c r="N16" s="42"/>
    </row>
    <row r="17" spans="1:14">
      <c r="A17" s="55" t="str">
        <f>IF(('EDL Processor'!C9+'EDL Processor'!D9+'EDL Processor'!E9) = 0,"", TEXT('EDL Processor'!C9,"00") &amp; ":"  &amp; TEXT('EDL Processor'!D9,"00") &amp;  ":"  &amp; TEXT('EDL Processor'!E9,"00") &amp; " " &amp;  'EDL Processor'!B9)</f>
        <v>00:09:31 Platform I/O Gets a mention</v>
      </c>
      <c r="B17" s="68" t="str">
        <f t="shared" si="5"/>
        <v>00:08:06 Where from Here? (users perspective)</v>
      </c>
      <c r="C17" s="72" t="str">
        <f>EOL</f>
        <v>\\</v>
      </c>
      <c r="D17" s="36">
        <f t="shared" si="0"/>
        <v>536</v>
      </c>
      <c r="E17" s="66" t="str">
        <f t="shared" si="1"/>
        <v>00</v>
      </c>
      <c r="F17" s="67" t="str">
        <f t="shared" si="2"/>
        <v>08</v>
      </c>
      <c r="G17" s="67" t="str">
        <f t="shared" si="3"/>
        <v>56</v>
      </c>
      <c r="H17" s="42" t="str">
        <f t="shared" si="4"/>
        <v>Where from Here? (Developers perspective)</v>
      </c>
      <c r="I17" s="33"/>
      <c r="J17" s="40"/>
      <c r="K17" s="41"/>
      <c r="L17" s="41"/>
      <c r="M17" s="41"/>
      <c r="N17" s="42"/>
    </row>
    <row r="18" spans="1:14">
      <c r="A18" s="55" t="str">
        <f>IF(('EDL Processor'!C10+'EDL Processor'!D10+'EDL Processor'!E10) = 0,"", TEXT('EDL Processor'!C10,"00") &amp; ":"  &amp; TEXT('EDL Processor'!D10,"00") &amp;  ":"  &amp; TEXT('EDL Processor'!E10,"00") &amp; " " &amp;  'EDL Processor'!B10)</f>
        <v>00:10:27 MERG 2025</v>
      </c>
      <c r="B18" s="68" t="str">
        <f t="shared" si="5"/>
        <v>00:08:56 Where from Here? (Developers perspective)</v>
      </c>
      <c r="C18" s="73" t="str">
        <f t="shared" ref="C18:C37" si="6">IFERROR(IF(ISBLANK($A10),"","[["&amp;YT_URL&amp;"?t="&amp;$D11&amp;"|"&amp; IF(LT1Hr = FALSE,MID($A10,1,8), MID($A10,1,5))&amp;"]] " &amp;$H11&amp;"\\"),"")</f>
        <v>[[https://youtu.be/onbkIkp4f94?t=6|00:00:06]] Start\\</v>
      </c>
      <c r="D18" s="36">
        <f t="shared" si="0"/>
        <v>571</v>
      </c>
      <c r="E18" s="66" t="str">
        <f t="shared" si="1"/>
        <v>00</v>
      </c>
      <c r="F18" s="67" t="str">
        <f t="shared" si="2"/>
        <v>09</v>
      </c>
      <c r="G18" s="67" t="str">
        <f t="shared" si="3"/>
        <v>31</v>
      </c>
      <c r="H18" s="42" t="str">
        <f t="shared" si="4"/>
        <v>Platform I/O Gets a mention</v>
      </c>
    </row>
    <row r="19" spans="1:14">
      <c r="A19" s="55" t="str">
        <f>IF(('EDL Processor'!C11+'EDL Processor'!D11+'EDL Processor'!E11) = 0,"", TEXT('EDL Processor'!C11,"00") &amp; ":"  &amp; TEXT('EDL Processor'!D11,"00") &amp;  ":"  &amp; TEXT('EDL Processor'!E11,"00") &amp; " " &amp;  'EDL Processor'!B11)</f>
        <v>00:13:51 End of Presnetation / Final Words</v>
      </c>
      <c r="B19" s="68" t="str">
        <f t="shared" si="5"/>
        <v>00:09:31 Platform I/O Gets a mention</v>
      </c>
      <c r="C19" s="73" t="str">
        <f t="shared" si="6"/>
        <v>[[https://youtu.be/onbkIkp4f94?t=92|00:01:32]] Hardware (Processors) Covered\\</v>
      </c>
      <c r="D19" s="36">
        <f t="shared" si="0"/>
        <v>627</v>
      </c>
      <c r="E19" s="66" t="str">
        <f t="shared" si="1"/>
        <v>00</v>
      </c>
      <c r="F19" s="67" t="str">
        <f t="shared" si="2"/>
        <v>10</v>
      </c>
      <c r="G19" s="67" t="str">
        <f t="shared" si="3"/>
        <v>27</v>
      </c>
      <c r="H19" s="42" t="str">
        <f t="shared" si="4"/>
        <v>MERG 2025</v>
      </c>
    </row>
    <row r="20" spans="1:14">
      <c r="A20" s="55" t="str">
        <f>IF(('EDL Processor'!C12+'EDL Processor'!D12+'EDL Processor'!E12) = 0,"", TEXT('EDL Processor'!C12,"00") &amp; ":"  &amp; TEXT('EDL Processor'!D12,"00") &amp;  ":"  &amp; TEXT('EDL Processor'!E12,"00") &amp; " " &amp;  'EDL Processor'!B12)</f>
        <v/>
      </c>
      <c r="B20" s="68" t="str">
        <f t="shared" si="5"/>
        <v>00:10:27 MERG 2025</v>
      </c>
      <c r="C20" s="73" t="str">
        <f t="shared" si="6"/>
        <v>[[https://youtu.be/onbkIkp4f94?t=173|00:02:53]] Topics Covered During Year\\</v>
      </c>
      <c r="D20" s="36">
        <f t="shared" si="0"/>
        <v>831</v>
      </c>
      <c r="E20" s="66" t="str">
        <f t="shared" si="1"/>
        <v>00</v>
      </c>
      <c r="F20" s="67" t="str">
        <f t="shared" si="2"/>
        <v>13</v>
      </c>
      <c r="G20" s="67" t="str">
        <f t="shared" si="3"/>
        <v>51</v>
      </c>
      <c r="H20" s="42" t="str">
        <f t="shared" si="4"/>
        <v>End of Presnetation / Final Words</v>
      </c>
    </row>
    <row r="21" spans="1:14">
      <c r="A21" s="55" t="str">
        <f>IF(('EDL Processor'!C13+'EDL Processor'!D13+'EDL Processor'!E13) = 0,"", TEXT('EDL Processor'!C13,"00") &amp; ":"  &amp; TEXT('EDL Processor'!D13,"00") &amp;  ":"  &amp; TEXT('EDL Processor'!E13,"00") &amp; " " &amp;  'EDL Processor'!B13)</f>
        <v/>
      </c>
      <c r="B21" s="68" t="str">
        <f t="shared" si="5"/>
        <v>00:13:51 End of Presnetation / Final Words</v>
      </c>
      <c r="C21" s="73" t="str">
        <f t="shared" si="6"/>
        <v>[[https://youtu.be/onbkIkp4f94?t=240|00:04:00]] John' s Highlights for 2025\\</v>
      </c>
      <c r="D21" s="36" t="e">
        <f t="shared" si="0"/>
        <v>#VALUE!</v>
      </c>
      <c r="E21" s="66" t="str">
        <f t="shared" si="1"/>
        <v/>
      </c>
      <c r="F21" s="67" t="str">
        <f t="shared" si="2"/>
        <v/>
      </c>
      <c r="G21" s="67" t="str">
        <f t="shared" si="3"/>
        <v/>
      </c>
      <c r="H21" s="42" t="str">
        <f t="shared" si="4"/>
        <v/>
      </c>
    </row>
    <row r="22" spans="1:14">
      <c r="A22" s="55" t="str">
        <f>IF(('EDL Processor'!C14+'EDL Processor'!D14+'EDL Processor'!E14) = 0,"", TEXT('EDL Processor'!C14,"00") &amp; ":"  &amp; TEXT('EDL Processor'!D14,"00") &amp;  ":"  &amp; TEXT('EDL Processor'!E14,"00") &amp; " " &amp;  'EDL Processor'!B14)</f>
        <v/>
      </c>
      <c r="B22" s="68" t="str">
        <f t="shared" si="5"/>
        <v/>
      </c>
      <c r="C22" s="73" t="str">
        <f t="shared" si="6"/>
        <v>[[https://youtu.be/onbkIkp4f94?t=284|00:04:44]] Personal Challenges\\</v>
      </c>
      <c r="D22" s="36" t="e">
        <f t="shared" si="0"/>
        <v>#VALUE!</v>
      </c>
      <c r="E22" s="66" t="str">
        <f t="shared" si="1"/>
        <v/>
      </c>
      <c r="F22" s="67" t="str">
        <f t="shared" si="2"/>
        <v/>
      </c>
      <c r="G22" s="67" t="str">
        <f t="shared" si="3"/>
        <v/>
      </c>
      <c r="H22" s="42" t="str">
        <f t="shared" si="4"/>
        <v/>
      </c>
    </row>
    <row r="23" spans="1:14">
      <c r="A23" s="55" t="str">
        <f>IF(('EDL Processor'!C15+'EDL Processor'!D15+'EDL Processor'!E15) = 0,"", TEXT('EDL Processor'!C15,"00") &amp; ":"  &amp; TEXT('EDL Processor'!D15,"00") &amp;  ":"  &amp; TEXT('EDL Processor'!E15,"00") &amp; " " &amp;  'EDL Processor'!B15)</f>
        <v/>
      </c>
      <c r="B23" s="68" t="str">
        <f t="shared" si="5"/>
        <v/>
      </c>
      <c r="C23" s="73" t="str">
        <f t="shared" si="6"/>
        <v>[[https://youtu.be/onbkIkp4f94?t=486|00:08:06]] Where from Here? (users perspective)\\</v>
      </c>
      <c r="D23" s="36" t="e">
        <f t="shared" si="0"/>
        <v>#VALUE!</v>
      </c>
      <c r="E23" s="66" t="str">
        <f t="shared" si="1"/>
        <v/>
      </c>
      <c r="F23" s="67" t="str">
        <f t="shared" si="2"/>
        <v/>
      </c>
      <c r="G23" s="67" t="str">
        <f t="shared" si="3"/>
        <v/>
      </c>
      <c r="H23" s="42" t="str">
        <f t="shared" si="4"/>
        <v/>
      </c>
    </row>
    <row r="24" spans="1:14">
      <c r="A24" s="55" t="str">
        <f>IF(('EDL Processor'!C16+'EDL Processor'!D16+'EDL Processor'!E16) = 0,"", TEXT('EDL Processor'!C16,"00") &amp; ":"  &amp; TEXT('EDL Processor'!D16,"00") &amp;  ":"  &amp; TEXT('EDL Processor'!E16,"00") &amp; " " &amp;  'EDL Processor'!B16)</f>
        <v/>
      </c>
      <c r="B24" s="68" t="str">
        <f t="shared" si="5"/>
        <v/>
      </c>
      <c r="C24" s="73" t="str">
        <f t="shared" si="6"/>
        <v>[[https://youtu.be/onbkIkp4f94?t=536|00:08:56]] Where from Here? (Developers perspective)\\</v>
      </c>
      <c r="D24" s="36" t="e">
        <f t="shared" si="0"/>
        <v>#VALUE!</v>
      </c>
      <c r="E24" s="66" t="str">
        <f t="shared" si="1"/>
        <v/>
      </c>
      <c r="F24" s="67" t="str">
        <f t="shared" si="2"/>
        <v/>
      </c>
      <c r="G24" s="67" t="str">
        <f t="shared" si="3"/>
        <v/>
      </c>
      <c r="H24" s="42" t="str">
        <f t="shared" si="4"/>
        <v/>
      </c>
    </row>
    <row r="25" spans="1:14">
      <c r="A25" s="55" t="str">
        <f>IF(('EDL Processor'!C17+'EDL Processor'!D17+'EDL Processor'!E17) = 0,"", TEXT('EDL Processor'!C17,"00") &amp; ":"  &amp; TEXT('EDL Processor'!D17,"00") &amp;  ":"  &amp; TEXT('EDL Processor'!E17,"00") &amp; " " &amp;  'EDL Processor'!B17)</f>
        <v/>
      </c>
      <c r="B25" s="68" t="str">
        <f t="shared" si="5"/>
        <v/>
      </c>
      <c r="C25" s="73" t="str">
        <f t="shared" si="6"/>
        <v>[[https://youtu.be/onbkIkp4f94?t=571|00:09:31]] Platform I/O Gets a mention\\</v>
      </c>
      <c r="D25" s="36" t="e">
        <f t="shared" si="0"/>
        <v>#VALUE!</v>
      </c>
      <c r="E25" s="66" t="str">
        <f t="shared" si="1"/>
        <v/>
      </c>
      <c r="F25" s="67" t="str">
        <f t="shared" si="2"/>
        <v/>
      </c>
      <c r="G25" s="67" t="str">
        <f t="shared" si="3"/>
        <v/>
      </c>
      <c r="H25" s="42" t="str">
        <f t="shared" si="4"/>
        <v/>
      </c>
    </row>
    <row r="26" spans="1:14">
      <c r="A26" s="55" t="str">
        <f>IF(('EDL Processor'!C18+'EDL Processor'!D18+'EDL Processor'!E18) = 0,"", TEXT('EDL Processor'!C18,"00") &amp; ":"  &amp; TEXT('EDL Processor'!D18,"00") &amp;  ":"  &amp; TEXT('EDL Processor'!E18,"00") &amp; " " &amp;  'EDL Processor'!B18)</f>
        <v/>
      </c>
      <c r="B26" s="68" t="str">
        <f t="shared" si="5"/>
        <v/>
      </c>
      <c r="C26" s="73" t="str">
        <f t="shared" si="6"/>
        <v>[[https://youtu.be/onbkIkp4f94?t=627|00:10:27]] MERG 2025\\</v>
      </c>
      <c r="D26" s="36" t="e">
        <f t="shared" si="0"/>
        <v>#VALUE!</v>
      </c>
      <c r="E26" s="66" t="str">
        <f t="shared" si="1"/>
        <v/>
      </c>
      <c r="F26" s="67" t="str">
        <f t="shared" si="2"/>
        <v/>
      </c>
      <c r="G26" s="67" t="str">
        <f t="shared" si="3"/>
        <v/>
      </c>
      <c r="H26" s="42" t="str">
        <f t="shared" si="4"/>
        <v/>
      </c>
    </row>
    <row r="27" spans="1:14">
      <c r="A27" s="55" t="str">
        <f>IF(('EDL Processor'!C19+'EDL Processor'!D19+'EDL Processor'!E19) = 0,"", TEXT('EDL Processor'!C19,"00") &amp; ":"  &amp; TEXT('EDL Processor'!D19,"00") &amp;  ":"  &amp; TEXT('EDL Processor'!E19,"00") &amp; " " &amp;  'EDL Processor'!B19)</f>
        <v/>
      </c>
      <c r="B27" s="68" t="str">
        <f t="shared" si="5"/>
        <v/>
      </c>
      <c r="C27" s="73" t="str">
        <f t="shared" si="6"/>
        <v>[[https://youtu.be/onbkIkp4f94?t=831|00:13:51]] End of Presnetation / Final Words\\</v>
      </c>
      <c r="D27" s="36" t="e">
        <f t="shared" si="0"/>
        <v>#VALUE!</v>
      </c>
      <c r="E27" s="66" t="str">
        <f t="shared" si="1"/>
        <v/>
      </c>
      <c r="F27" s="67" t="str">
        <f t="shared" si="2"/>
        <v/>
      </c>
      <c r="G27" s="67" t="str">
        <f t="shared" si="3"/>
        <v/>
      </c>
      <c r="H27" s="42" t="str">
        <f t="shared" si="4"/>
        <v/>
      </c>
    </row>
    <row r="28" spans="1:14">
      <c r="A28" s="55" t="str">
        <f>IF(('EDL Processor'!C20+'EDL Processor'!D20+'EDL Processor'!E20) = 0,"", TEXT('EDL Processor'!C20,"00") &amp; ":"  &amp; TEXT('EDL Processor'!D20,"00") &amp;  ":"  &amp; TEXT('EDL Processor'!E20,"00") &amp; " " &amp;  'EDL Processor'!B20)</f>
        <v/>
      </c>
      <c r="B28" s="68" t="str">
        <f t="shared" si="5"/>
        <v/>
      </c>
      <c r="C28" s="73" t="str">
        <f t="shared" si="6"/>
        <v/>
      </c>
      <c r="D28" s="36" t="e">
        <f t="shared" si="0"/>
        <v>#VALUE!</v>
      </c>
      <c r="E28" s="66" t="str">
        <f t="shared" si="1"/>
        <v/>
      </c>
      <c r="F28" s="67" t="str">
        <f t="shared" si="2"/>
        <v/>
      </c>
      <c r="G28" s="67" t="str">
        <f t="shared" si="3"/>
        <v/>
      </c>
      <c r="H28" s="42" t="str">
        <f t="shared" si="4"/>
        <v/>
      </c>
    </row>
    <row r="29" spans="1:14" ht="15.75" thickBot="1">
      <c r="A29" s="56" t="str">
        <f>IF(('EDL Processor'!C21+'EDL Processor'!D21+'EDL Processor'!E21) = 0,"", TEXT('EDL Processor'!C21,"00") &amp; ":"  &amp; TEXT('EDL Processor'!D21,"00") &amp;  ":"  &amp; TEXT('EDL Processor'!E21,"00") &amp; " " &amp;  'EDL Processor'!B21)</f>
        <v/>
      </c>
      <c r="B29" s="68" t="str">
        <f t="shared" si="5"/>
        <v/>
      </c>
      <c r="C29" s="73" t="str">
        <f t="shared" si="6"/>
        <v/>
      </c>
      <c r="D29" s="36" t="e">
        <f t="shared" si="0"/>
        <v>#VALUE!</v>
      </c>
      <c r="E29" s="66" t="str">
        <f t="shared" si="1"/>
        <v/>
      </c>
      <c r="F29" s="67" t="str">
        <f t="shared" si="2"/>
        <v/>
      </c>
      <c r="G29" s="67" t="str">
        <f t="shared" si="3"/>
        <v/>
      </c>
      <c r="H29" s="42" t="str">
        <f t="shared" si="4"/>
        <v/>
      </c>
    </row>
    <row r="30" spans="1:14" ht="15.75" thickBot="1">
      <c r="B30" s="68" t="str">
        <f t="shared" si="5"/>
        <v/>
      </c>
      <c r="C30" s="73" t="str">
        <f t="shared" si="6"/>
        <v/>
      </c>
      <c r="D30" s="47" t="e">
        <f t="shared" si="0"/>
        <v>#VALUE!</v>
      </c>
      <c r="E30" s="48" t="str">
        <f t="shared" si="1"/>
        <v/>
      </c>
      <c r="F30" s="49" t="str">
        <f t="shared" si="2"/>
        <v/>
      </c>
      <c r="G30" s="49" t="str">
        <f t="shared" si="3"/>
        <v/>
      </c>
      <c r="H30" s="50" t="str">
        <f t="shared" si="4"/>
        <v/>
      </c>
    </row>
    <row r="31" spans="1:14">
      <c r="B31" s="68" t="str">
        <f t="shared" si="5"/>
        <v/>
      </c>
      <c r="C31" s="73" t="str">
        <f t="shared" si="6"/>
        <v/>
      </c>
      <c r="D31"/>
    </row>
    <row r="32" spans="1:14">
      <c r="B32" s="68" t="str">
        <f>IF(ISBLANK(LongDescription),"",LongDescription)</f>
        <v xml:space="preserve">This zoom chat started off with John giving us a quick year end review presentation. This lasted about 15 minutes and was followed by another 45 minutes of general chat, which by general consensus was not worthy enough to be published. </v>
      </c>
      <c r="C32" s="73" t="str">
        <f t="shared" si="6"/>
        <v/>
      </c>
    </row>
    <row r="33" spans="2:3" ht="15.75" thickBot="1">
      <c r="B33" s="74"/>
      <c r="C33" s="73" t="str">
        <f t="shared" si="6"/>
        <v/>
      </c>
    </row>
    <row r="34" spans="2:3">
      <c r="C34" s="73" t="str">
        <f t="shared" si="6"/>
        <v/>
      </c>
    </row>
    <row r="35" spans="2:3">
      <c r="C35" s="73" t="str">
        <f t="shared" si="6"/>
        <v/>
      </c>
    </row>
    <row r="36" spans="2:3">
      <c r="C36" s="73" t="str">
        <f t="shared" si="6"/>
        <v/>
      </c>
    </row>
    <row r="37" spans="2:3">
      <c r="C37" s="73" t="str">
        <f t="shared" si="6"/>
        <v/>
      </c>
    </row>
    <row r="38" spans="2:3">
      <c r="C38" s="75" t="str">
        <f>EndWrap</f>
        <v>&lt;/WRAP&gt;</v>
      </c>
    </row>
    <row r="39" spans="2:3">
      <c r="C39" s="75" t="str">
        <f>WRAPcolumnhalf</f>
        <v>&lt;WRAP column half&gt;</v>
      </c>
    </row>
    <row r="40" spans="2:3" ht="30">
      <c r="C40" s="76" t="str">
        <f>"{{:subjects:msag_youtube_icon.jpg?40 |A YouTube video}} [[" &amp; YT_URL &amp; "|" &amp; VideoTitle &amp; "]] ("&amp; YT_minutes  &amp; " mins) {{youtube&gt;" &amp;  MID(YT_URL,18,99) &amp;  "}}\\"</f>
        <v>{{:subjects:msag_youtube_icon.jpg?40 |A YouTube video}} [[https://youtu.be/onbkIkp4f94|2025 Year End Review]] (16 mins) {{youtube&gt;onbkIkp4f94}}\\</v>
      </c>
    </row>
    <row r="41" spans="2:3">
      <c r="C41" s="75" t="str">
        <f>EndWrap</f>
        <v>&lt;/WRAP&gt;</v>
      </c>
    </row>
    <row r="42" spans="2:3">
      <c r="C42" s="75" t="str">
        <f>EndWrap</f>
        <v>&lt;/WRAP&gt;</v>
      </c>
    </row>
    <row r="43" spans="2:3">
      <c r="C43" s="75" t="str">
        <f>EndWrap</f>
        <v>&lt;/WRAP&gt;</v>
      </c>
    </row>
    <row r="44" spans="2:3" ht="15.75" thickBot="1">
      <c r="C44" s="77" t="s">
        <v>22</v>
      </c>
    </row>
  </sheetData>
  <mergeCells count="2">
    <mergeCell ref="D9:N9"/>
    <mergeCell ref="J11:N11"/>
  </mergeCells>
  <hyperlinks>
    <hyperlink ref="B2" r:id="rId1" xr:uid="{B8B5A8E9-95E2-46D3-8C65-83BABCC92F02}"/>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72705" r:id="rId5" name="btn_Select_EDL_File">
          <controlPr defaultSize="0" autoLine="0" r:id="rId6">
            <anchor moveWithCells="1">
              <from>
                <xdr:col>2</xdr:col>
                <xdr:colOff>352425</xdr:colOff>
                <xdr:row>2</xdr:row>
                <xdr:rowOff>104775</xdr:rowOff>
              </from>
              <to>
                <xdr:col>2</xdr:col>
                <xdr:colOff>1714500</xdr:colOff>
                <xdr:row>4</xdr:row>
                <xdr:rowOff>66675</xdr:rowOff>
              </to>
            </anchor>
          </controlPr>
        </control>
      </mc:Choice>
      <mc:Fallback>
        <control shapeId="72705" r:id="rId5" name="btn_Select_EDL_File"/>
      </mc:Fallback>
    </mc:AlternateContent>
    <mc:AlternateContent xmlns:mc="http://schemas.openxmlformats.org/markup-compatibility/2006">
      <mc:Choice Requires="x14">
        <control shapeId="72706" r:id="rId7" name="Button 2">
          <controlPr defaultSize="0" print="0" autoFill="0" autoPict="0" macro="[0]!Sheet3.ConvertToValues">
            <anchor moveWithCells="1" sizeWithCells="1">
              <from>
                <xdr:col>2</xdr:col>
                <xdr:colOff>3600450</xdr:colOff>
                <xdr:row>2</xdr:row>
                <xdr:rowOff>104775</xdr:rowOff>
              </from>
              <to>
                <xdr:col>2</xdr:col>
                <xdr:colOff>5238750</xdr:colOff>
                <xdr:row>4</xdr:row>
                <xdr:rowOff>95250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78EC-F8CE-47FD-B85B-3D1FE6249AD0}">
  <sheetPr codeName="Sheet11">
    <tabColor rgb="FF72F542"/>
  </sheetPr>
  <dimension ref="A1:N44"/>
  <sheetViews>
    <sheetView workbookViewId="0">
      <selection activeCell="B19" sqref="B19"/>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101" t="s">
        <v>163</v>
      </c>
      <c r="C2" s="62" t="s">
        <v>164</v>
      </c>
    </row>
    <row r="3" spans="1:14">
      <c r="A3" s="4" t="s">
        <v>23</v>
      </c>
      <c r="B3" s="88" t="s">
        <v>166</v>
      </c>
    </row>
    <row r="4" spans="1:14">
      <c r="A4" s="4" t="s">
        <v>24</v>
      </c>
      <c r="B4" s="88" t="s">
        <v>165</v>
      </c>
      <c r="D4"/>
    </row>
    <row r="5" spans="1:14">
      <c r="A5" s="4" t="s">
        <v>15</v>
      </c>
      <c r="B5" s="88" t="s">
        <v>167</v>
      </c>
      <c r="D5"/>
    </row>
    <row r="6" spans="1:14" ht="15.75" thickBot="1">
      <c r="A6" s="5" t="s">
        <v>46</v>
      </c>
      <c r="B6" s="89">
        <v>74</v>
      </c>
      <c r="C6" s="61" t="s">
        <v>97</v>
      </c>
      <c r="D6"/>
    </row>
    <row r="7" spans="1:14" ht="15.75" thickBot="1">
      <c r="A7" s="4" t="s">
        <v>25</v>
      </c>
      <c r="B7" s="88" t="s">
        <v>168</v>
      </c>
      <c r="C7" s="65" t="s">
        <v>192</v>
      </c>
    </row>
    <row r="8" spans="1:14" ht="48" customHeight="1" thickBot="1">
      <c r="A8" s="4" t="s">
        <v>26</v>
      </c>
      <c r="B8" s="90" t="s">
        <v>169</v>
      </c>
    </row>
    <row r="9" spans="1:14" ht="19.5" thickBot="1">
      <c r="A9" s="28" t="s">
        <v>19</v>
      </c>
      <c r="B9" s="30" t="s">
        <v>9</v>
      </c>
      <c r="C9" s="29" t="s">
        <v>8</v>
      </c>
      <c r="D9" s="116"/>
      <c r="E9" s="117"/>
      <c r="F9" s="117"/>
      <c r="G9" s="117"/>
      <c r="H9" s="117"/>
      <c r="I9" s="117"/>
      <c r="J9" s="117"/>
      <c r="K9" s="117"/>
      <c r="L9" s="117"/>
      <c r="M9" s="117"/>
      <c r="N9" s="118"/>
    </row>
    <row r="10" spans="1:14" ht="15.75" thickBot="1">
      <c r="A10" s="55" t="s">
        <v>170</v>
      </c>
      <c r="B10" s="68" t="s">
        <v>168</v>
      </c>
      <c r="C10" s="69" t="s">
        <v>12</v>
      </c>
      <c r="D10" s="57"/>
      <c r="E10" s="58"/>
      <c r="F10" s="58"/>
      <c r="G10" s="58"/>
      <c r="H10" s="59"/>
    </row>
    <row r="11" spans="1:14" ht="45">
      <c r="A11" s="55" t="s">
        <v>171</v>
      </c>
      <c r="B11" s="70" t="s">
        <v>11</v>
      </c>
      <c r="C11" s="71" t="s">
        <v>193</v>
      </c>
      <c r="D11" s="43"/>
      <c r="E11" s="44"/>
      <c r="F11" s="45"/>
      <c r="G11" s="45"/>
      <c r="H11" s="46"/>
      <c r="I11" s="33"/>
      <c r="J11" s="119"/>
      <c r="K11" s="120"/>
      <c r="L11" s="120"/>
      <c r="M11" s="120"/>
      <c r="N11" s="121"/>
    </row>
    <row r="12" spans="1:14">
      <c r="A12" s="55" t="s">
        <v>172</v>
      </c>
      <c r="B12" s="68" t="s">
        <v>170</v>
      </c>
      <c r="C12" s="71" t="s">
        <v>194</v>
      </c>
      <c r="D12" s="36"/>
      <c r="E12" s="66"/>
      <c r="F12" s="67"/>
      <c r="G12" s="67"/>
      <c r="H12" s="42"/>
      <c r="I12" s="33"/>
      <c r="J12" s="36"/>
      <c r="K12" s="34"/>
      <c r="L12" s="34"/>
      <c r="M12" s="34"/>
      <c r="N12" s="35"/>
    </row>
    <row r="13" spans="1:14">
      <c r="A13" s="55" t="s">
        <v>187</v>
      </c>
      <c r="B13" s="68" t="s">
        <v>171</v>
      </c>
      <c r="C13" s="71" t="s">
        <v>195</v>
      </c>
      <c r="D13" s="36"/>
      <c r="E13" s="66"/>
      <c r="F13" s="67"/>
      <c r="G13" s="67"/>
      <c r="H13" s="42"/>
      <c r="I13" s="33"/>
      <c r="J13" s="36"/>
      <c r="K13" s="37"/>
      <c r="L13" s="37"/>
      <c r="M13" s="37"/>
      <c r="N13" s="38"/>
    </row>
    <row r="14" spans="1:14">
      <c r="A14" s="55" t="s">
        <v>173</v>
      </c>
      <c r="B14" s="68" t="s">
        <v>172</v>
      </c>
      <c r="C14" s="71" t="s">
        <v>13</v>
      </c>
      <c r="D14" s="36"/>
      <c r="E14" s="66"/>
      <c r="F14" s="67"/>
      <c r="G14" s="67"/>
      <c r="H14" s="42"/>
      <c r="I14" s="33"/>
      <c r="J14" s="36"/>
      <c r="K14" s="37"/>
      <c r="L14" s="37"/>
      <c r="M14" s="37"/>
      <c r="N14" s="38"/>
    </row>
    <row r="15" spans="1:14">
      <c r="A15" s="55" t="s">
        <v>174</v>
      </c>
      <c r="B15" s="68" t="s">
        <v>187</v>
      </c>
      <c r="C15" s="71" t="s">
        <v>14</v>
      </c>
      <c r="D15" s="36"/>
      <c r="E15" s="66"/>
      <c r="F15" s="67"/>
      <c r="G15" s="67"/>
      <c r="H15" s="42"/>
      <c r="I15" s="33"/>
      <c r="J15" s="39"/>
      <c r="K15" s="37"/>
      <c r="L15" s="37"/>
      <c r="M15" s="37"/>
      <c r="N15" s="38"/>
    </row>
    <row r="16" spans="1:14" ht="45">
      <c r="A16" s="55" t="s">
        <v>175</v>
      </c>
      <c r="B16" s="68" t="s">
        <v>173</v>
      </c>
      <c r="C16" s="72" t="s">
        <v>169</v>
      </c>
      <c r="D16" s="36"/>
      <c r="E16" s="66"/>
      <c r="F16" s="67"/>
      <c r="G16" s="67"/>
      <c r="H16" s="42"/>
      <c r="I16" s="33"/>
      <c r="J16" s="40"/>
      <c r="K16" s="41"/>
      <c r="L16" s="41"/>
      <c r="M16" s="41"/>
      <c r="N16" s="42"/>
    </row>
    <row r="17" spans="1:14">
      <c r="A17" s="55" t="s">
        <v>176</v>
      </c>
      <c r="B17" s="68" t="s">
        <v>174</v>
      </c>
      <c r="C17" s="72" t="s">
        <v>21</v>
      </c>
      <c r="D17" s="36"/>
      <c r="E17" s="66"/>
      <c r="F17" s="67"/>
      <c r="G17" s="67"/>
      <c r="H17" s="42"/>
      <c r="I17" s="33"/>
      <c r="J17" s="40"/>
      <c r="K17" s="41"/>
      <c r="L17" s="41"/>
      <c r="M17" s="41"/>
      <c r="N17" s="42"/>
    </row>
    <row r="18" spans="1:14">
      <c r="A18" s="55" t="s">
        <v>177</v>
      </c>
      <c r="B18" s="68" t="s">
        <v>175</v>
      </c>
      <c r="C18" s="73" t="s">
        <v>196</v>
      </c>
      <c r="D18" s="36"/>
      <c r="E18" s="66"/>
      <c r="F18" s="67"/>
      <c r="G18" s="67"/>
      <c r="H18" s="42"/>
    </row>
    <row r="19" spans="1:14">
      <c r="A19" s="55" t="s">
        <v>178</v>
      </c>
      <c r="B19" s="68" t="s">
        <v>176</v>
      </c>
      <c r="C19" s="73" t="s">
        <v>197</v>
      </c>
      <c r="D19" s="36"/>
      <c r="E19" s="66"/>
      <c r="F19" s="67"/>
      <c r="G19" s="67"/>
      <c r="H19" s="42"/>
    </row>
    <row r="20" spans="1:14">
      <c r="A20" s="55" t="s">
        <v>179</v>
      </c>
      <c r="B20" s="68" t="s">
        <v>177</v>
      </c>
      <c r="C20" s="73" t="s">
        <v>198</v>
      </c>
      <c r="D20" s="36"/>
      <c r="E20" s="66"/>
      <c r="F20" s="67"/>
      <c r="G20" s="67"/>
      <c r="H20" s="42"/>
    </row>
    <row r="21" spans="1:14">
      <c r="A21" s="55" t="s">
        <v>180</v>
      </c>
      <c r="B21" s="68" t="s">
        <v>178</v>
      </c>
      <c r="C21" s="73" t="s">
        <v>199</v>
      </c>
      <c r="D21" s="36"/>
      <c r="E21" s="66"/>
      <c r="F21" s="67"/>
      <c r="G21" s="67"/>
      <c r="H21" s="42"/>
    </row>
    <row r="22" spans="1:14">
      <c r="A22" s="55" t="s">
        <v>181</v>
      </c>
      <c r="B22" s="68" t="s">
        <v>179</v>
      </c>
      <c r="C22" s="73" t="s">
        <v>200</v>
      </c>
      <c r="D22" s="36"/>
      <c r="E22" s="66"/>
      <c r="F22" s="67"/>
      <c r="G22" s="67"/>
      <c r="H22" s="42"/>
    </row>
    <row r="23" spans="1:14">
      <c r="A23" s="55" t="s">
        <v>182</v>
      </c>
      <c r="B23" s="68" t="s">
        <v>180</v>
      </c>
      <c r="C23" s="73" t="s">
        <v>201</v>
      </c>
      <c r="D23" s="36"/>
      <c r="E23" s="66"/>
      <c r="F23" s="67"/>
      <c r="G23" s="67"/>
      <c r="H23" s="42"/>
    </row>
    <row r="24" spans="1:14">
      <c r="A24" s="55" t="s">
        <v>183</v>
      </c>
      <c r="B24" s="68" t="s">
        <v>181</v>
      </c>
      <c r="C24" s="73" t="s">
        <v>202</v>
      </c>
      <c r="D24" s="36"/>
      <c r="E24" s="66"/>
      <c r="F24" s="67"/>
      <c r="G24" s="67"/>
      <c r="H24" s="42"/>
    </row>
    <row r="25" spans="1:14">
      <c r="A25" s="55" t="s">
        <v>184</v>
      </c>
      <c r="B25" s="68" t="s">
        <v>182</v>
      </c>
      <c r="C25" s="73" t="s">
        <v>203</v>
      </c>
      <c r="D25" s="36"/>
      <c r="E25" s="66"/>
      <c r="F25" s="67"/>
      <c r="G25" s="67"/>
      <c r="H25" s="42"/>
    </row>
    <row r="26" spans="1:14">
      <c r="A26" s="55" t="s">
        <v>185</v>
      </c>
      <c r="B26" s="68" t="s">
        <v>183</v>
      </c>
      <c r="C26" s="73" t="s">
        <v>204</v>
      </c>
      <c r="D26" s="36"/>
      <c r="E26" s="66"/>
      <c r="F26" s="67"/>
      <c r="G26" s="67"/>
      <c r="H26" s="42"/>
    </row>
    <row r="27" spans="1:14">
      <c r="A27" s="55" t="s">
        <v>186</v>
      </c>
      <c r="B27" s="68" t="s">
        <v>184</v>
      </c>
      <c r="C27" s="73" t="s">
        <v>205</v>
      </c>
      <c r="D27" s="36"/>
      <c r="E27" s="66"/>
      <c r="F27" s="67"/>
      <c r="G27" s="67"/>
      <c r="H27" s="42"/>
    </row>
    <row r="28" spans="1:14">
      <c r="A28" s="55" t="s">
        <v>124</v>
      </c>
      <c r="B28" s="68" t="s">
        <v>185</v>
      </c>
      <c r="C28" s="73" t="s">
        <v>206</v>
      </c>
      <c r="D28" s="36"/>
      <c r="E28" s="66"/>
      <c r="F28" s="67"/>
      <c r="G28" s="67"/>
      <c r="H28" s="42"/>
    </row>
    <row r="29" spans="1:14" ht="15.75" thickBot="1">
      <c r="A29" s="56" t="s">
        <v>124</v>
      </c>
      <c r="B29" s="68" t="s">
        <v>186</v>
      </c>
      <c r="C29" s="73" t="s">
        <v>207</v>
      </c>
      <c r="D29" s="36"/>
      <c r="E29" s="66"/>
      <c r="F29" s="67"/>
      <c r="G29" s="67"/>
      <c r="H29" s="42"/>
    </row>
    <row r="30" spans="1:14" ht="15.75" thickBot="1">
      <c r="B30" s="68" t="s">
        <v>124</v>
      </c>
      <c r="C30" s="73" t="s">
        <v>208</v>
      </c>
      <c r="D30" s="47"/>
      <c r="E30" s="48"/>
      <c r="F30" s="49"/>
      <c r="G30" s="49"/>
      <c r="H30" s="50"/>
    </row>
    <row r="31" spans="1:14">
      <c r="B31" s="68" t="s">
        <v>124</v>
      </c>
      <c r="C31" s="73" t="s">
        <v>209</v>
      </c>
      <c r="D31"/>
    </row>
    <row r="32" spans="1:14">
      <c r="B32" s="68" t="s">
        <v>169</v>
      </c>
      <c r="C32" s="73" t="s">
        <v>210</v>
      </c>
    </row>
    <row r="33" spans="2:3" ht="15.75" thickBot="1">
      <c r="B33" s="74"/>
      <c r="C33" s="73" t="s">
        <v>211</v>
      </c>
    </row>
    <row r="34" spans="2:3">
      <c r="C34" s="73" t="s">
        <v>212</v>
      </c>
    </row>
    <row r="35" spans="2:3">
      <c r="C35" s="73" t="s">
        <v>213</v>
      </c>
    </row>
    <row r="36" spans="2:3">
      <c r="C36" s="73" t="s">
        <v>124</v>
      </c>
    </row>
    <row r="37" spans="2:3">
      <c r="C37" s="73" t="s">
        <v>124</v>
      </c>
    </row>
    <row r="38" spans="2:3">
      <c r="C38" s="75" t="s">
        <v>16</v>
      </c>
    </row>
    <row r="39" spans="2:3">
      <c r="C39" s="75" t="s">
        <v>14</v>
      </c>
    </row>
    <row r="40" spans="2:3" ht="45">
      <c r="C40" s="76" t="s">
        <v>214</v>
      </c>
    </row>
    <row r="41" spans="2:3">
      <c r="C41" s="75" t="s">
        <v>16</v>
      </c>
    </row>
    <row r="42" spans="2:3">
      <c r="C42" s="75" t="s">
        <v>16</v>
      </c>
    </row>
    <row r="43" spans="2:3">
      <c r="C43" s="75" t="s">
        <v>16</v>
      </c>
    </row>
    <row r="44" spans="2:3" ht="15.75" thickBot="1">
      <c r="C44" s="77" t="s">
        <v>22</v>
      </c>
    </row>
  </sheetData>
  <mergeCells count="2">
    <mergeCell ref="D9:N9"/>
    <mergeCell ref="J11:N11"/>
  </mergeCells>
  <hyperlinks>
    <hyperlink ref="B2" r:id="rId1" xr:uid="{A87F396E-90B2-438A-B727-6E29FCD186EC}"/>
  </hyperlinks>
  <pageMargins left="0.7" right="0.7" top="0.75" bottom="0.75" header="0.3" footer="0.3"/>
  <pageSetup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7488-384A-442B-97D9-360B14B39A60}">
  <sheetPr codeName="Sheet6">
    <tabColor rgb="FF72F542"/>
  </sheetPr>
  <dimension ref="A1:N44"/>
  <sheetViews>
    <sheetView topLeftCell="A5" workbookViewId="0">
      <selection activeCell="B30" sqref="B30"/>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87" t="s">
        <v>18</v>
      </c>
      <c r="C2" s="62" t="s">
        <v>99</v>
      </c>
    </row>
    <row r="3" spans="1:14">
      <c r="A3" s="4" t="s">
        <v>23</v>
      </c>
      <c r="B3" s="88" t="s">
        <v>137</v>
      </c>
    </row>
    <row r="4" spans="1:14">
      <c r="A4" s="4" t="s">
        <v>24</v>
      </c>
      <c r="B4" s="88" t="s">
        <v>138</v>
      </c>
      <c r="D4"/>
    </row>
    <row r="5" spans="1:14">
      <c r="A5" s="4" t="s">
        <v>15</v>
      </c>
      <c r="B5" s="88" t="s">
        <v>139</v>
      </c>
      <c r="D5"/>
    </row>
    <row r="6" spans="1:14" ht="15.75" thickBot="1">
      <c r="A6" s="5" t="s">
        <v>46</v>
      </c>
      <c r="B6" s="89">
        <v>66</v>
      </c>
      <c r="C6" s="61" t="s">
        <v>97</v>
      </c>
      <c r="D6"/>
    </row>
    <row r="7" spans="1:14" ht="15.75" thickBot="1">
      <c r="A7" s="4" t="s">
        <v>25</v>
      </c>
      <c r="B7" s="88" t="s">
        <v>141</v>
      </c>
      <c r="C7" s="65" t="s">
        <v>133</v>
      </c>
    </row>
    <row r="8" spans="1:14" ht="48" customHeight="1" thickBot="1">
      <c r="A8" s="4" t="s">
        <v>26</v>
      </c>
      <c r="B8" s="90" t="s">
        <v>140</v>
      </c>
    </row>
    <row r="9" spans="1:14" ht="19.5" thickBot="1">
      <c r="A9" s="28" t="s">
        <v>19</v>
      </c>
      <c r="B9" s="30" t="s">
        <v>9</v>
      </c>
      <c r="C9" s="29" t="s">
        <v>8</v>
      </c>
      <c r="D9" s="116"/>
      <c r="E9" s="117"/>
      <c r="F9" s="117"/>
      <c r="G9" s="117"/>
      <c r="H9" s="117"/>
      <c r="I9" s="117"/>
      <c r="J9" s="117"/>
      <c r="K9" s="117"/>
      <c r="L9" s="117"/>
      <c r="M9" s="117"/>
      <c r="N9" s="118"/>
    </row>
    <row r="10" spans="1:14" ht="15.75" thickBot="1">
      <c r="A10" s="55" t="s">
        <v>108</v>
      </c>
      <c r="B10" s="68" t="s">
        <v>141</v>
      </c>
      <c r="C10" s="69" t="s">
        <v>12</v>
      </c>
      <c r="D10" s="57"/>
      <c r="E10" s="58"/>
      <c r="F10" s="58"/>
      <c r="G10" s="58"/>
      <c r="H10" s="59"/>
    </row>
    <row r="11" spans="1:14" ht="45">
      <c r="A11" s="55" t="s">
        <v>109</v>
      </c>
      <c r="B11" s="70" t="s">
        <v>11</v>
      </c>
      <c r="C11" s="71" t="s">
        <v>142</v>
      </c>
      <c r="D11" s="43"/>
      <c r="E11" s="44"/>
      <c r="F11" s="45"/>
      <c r="G11" s="45"/>
      <c r="H11" s="46"/>
      <c r="I11" s="33"/>
      <c r="J11" s="119"/>
      <c r="K11" s="120"/>
      <c r="L11" s="120"/>
      <c r="M11" s="120"/>
      <c r="N11" s="121"/>
    </row>
    <row r="12" spans="1:14">
      <c r="A12" s="55" t="s">
        <v>110</v>
      </c>
      <c r="B12" s="68" t="s">
        <v>108</v>
      </c>
      <c r="C12" s="71" t="s">
        <v>143</v>
      </c>
      <c r="D12" s="36"/>
      <c r="E12" s="66"/>
      <c r="F12" s="67"/>
      <c r="G12" s="67"/>
      <c r="H12" s="42"/>
      <c r="I12" s="33"/>
      <c r="J12" s="36"/>
      <c r="K12" s="34"/>
      <c r="L12" s="34"/>
      <c r="M12" s="34"/>
      <c r="N12" s="35"/>
    </row>
    <row r="13" spans="1:14">
      <c r="A13" s="55" t="s">
        <v>111</v>
      </c>
      <c r="B13" s="68" t="s">
        <v>109</v>
      </c>
      <c r="C13" s="71" t="s">
        <v>144</v>
      </c>
      <c r="D13" s="36"/>
      <c r="E13" s="66"/>
      <c r="F13" s="67"/>
      <c r="G13" s="67"/>
      <c r="H13" s="42"/>
      <c r="I13" s="33"/>
      <c r="J13" s="36"/>
      <c r="K13" s="37"/>
      <c r="L13" s="37"/>
      <c r="M13" s="37"/>
      <c r="N13" s="38"/>
    </row>
    <row r="14" spans="1:14">
      <c r="A14" s="55" t="s">
        <v>112</v>
      </c>
      <c r="B14" s="68" t="s">
        <v>110</v>
      </c>
      <c r="C14" s="71" t="s">
        <v>13</v>
      </c>
      <c r="D14" s="36"/>
      <c r="E14" s="66"/>
      <c r="F14" s="67"/>
      <c r="G14" s="67"/>
      <c r="H14" s="42"/>
      <c r="I14" s="33"/>
      <c r="J14" s="36"/>
      <c r="K14" s="37"/>
      <c r="L14" s="37"/>
      <c r="M14" s="37"/>
      <c r="N14" s="38"/>
    </row>
    <row r="15" spans="1:14">
      <c r="A15" s="55" t="s">
        <v>113</v>
      </c>
      <c r="B15" s="68" t="s">
        <v>111</v>
      </c>
      <c r="C15" s="71" t="s">
        <v>14</v>
      </c>
      <c r="D15" s="36"/>
      <c r="E15" s="66"/>
      <c r="F15" s="67"/>
      <c r="G15" s="67"/>
      <c r="H15" s="42"/>
      <c r="I15" s="33"/>
      <c r="J15" s="39"/>
      <c r="K15" s="37"/>
      <c r="L15" s="37"/>
      <c r="M15" s="37"/>
      <c r="N15" s="38"/>
    </row>
    <row r="16" spans="1:14" ht="45">
      <c r="A16" s="55" t="s">
        <v>114</v>
      </c>
      <c r="B16" s="68" t="s">
        <v>112</v>
      </c>
      <c r="C16" s="72" t="s">
        <v>140</v>
      </c>
      <c r="D16" s="36"/>
      <c r="E16" s="66"/>
      <c r="F16" s="67"/>
      <c r="G16" s="67"/>
      <c r="H16" s="42"/>
      <c r="I16" s="33"/>
      <c r="J16" s="40"/>
      <c r="K16" s="41"/>
      <c r="L16" s="41"/>
      <c r="M16" s="41"/>
      <c r="N16" s="42"/>
    </row>
    <row r="17" spans="1:14">
      <c r="A17" s="55" t="s">
        <v>115</v>
      </c>
      <c r="B17" s="68" t="s">
        <v>113</v>
      </c>
      <c r="C17" s="72" t="s">
        <v>21</v>
      </c>
      <c r="D17" s="36"/>
      <c r="E17" s="66"/>
      <c r="F17" s="67"/>
      <c r="G17" s="67"/>
      <c r="H17" s="42"/>
      <c r="I17" s="33"/>
      <c r="J17" s="40"/>
      <c r="K17" s="41"/>
      <c r="L17" s="41"/>
      <c r="M17" s="41"/>
      <c r="N17" s="42"/>
    </row>
    <row r="18" spans="1:14">
      <c r="A18" s="55" t="s">
        <v>116</v>
      </c>
      <c r="B18" s="68" t="s">
        <v>114</v>
      </c>
      <c r="C18" s="73" t="s">
        <v>117</v>
      </c>
      <c r="D18" s="36"/>
      <c r="E18" s="66"/>
      <c r="F18" s="67"/>
      <c r="G18" s="67"/>
      <c r="H18" s="42"/>
    </row>
    <row r="19" spans="1:14">
      <c r="A19" s="55" t="s">
        <v>118</v>
      </c>
      <c r="B19" s="68" t="s">
        <v>115</v>
      </c>
      <c r="C19" s="73" t="s">
        <v>119</v>
      </c>
      <c r="D19" s="36"/>
      <c r="E19" s="66"/>
      <c r="F19" s="67"/>
      <c r="G19" s="67"/>
      <c r="H19" s="42"/>
    </row>
    <row r="20" spans="1:14">
      <c r="A20" s="55" t="s">
        <v>120</v>
      </c>
      <c r="B20" s="68" t="s">
        <v>116</v>
      </c>
      <c r="C20" s="73" t="s">
        <v>121</v>
      </c>
      <c r="D20" s="36"/>
      <c r="E20" s="66"/>
      <c r="F20" s="67"/>
      <c r="G20" s="67"/>
      <c r="H20" s="42"/>
    </row>
    <row r="21" spans="1:14">
      <c r="A21" s="55" t="s">
        <v>122</v>
      </c>
      <c r="B21" s="68" t="s">
        <v>118</v>
      </c>
      <c r="C21" s="73" t="s">
        <v>123</v>
      </c>
      <c r="D21" s="36"/>
      <c r="E21" s="66"/>
      <c r="F21" s="67"/>
      <c r="G21" s="67"/>
      <c r="H21" s="42"/>
    </row>
    <row r="22" spans="1:14">
      <c r="A22" s="55" t="s">
        <v>124</v>
      </c>
      <c r="B22" s="68" t="s">
        <v>120</v>
      </c>
      <c r="C22" s="73" t="s">
        <v>125</v>
      </c>
      <c r="D22" s="36"/>
      <c r="E22" s="66"/>
      <c r="F22" s="67"/>
      <c r="G22" s="67"/>
      <c r="H22" s="42"/>
    </row>
    <row r="23" spans="1:14">
      <c r="A23" s="55" t="s">
        <v>124</v>
      </c>
      <c r="B23" s="68" t="s">
        <v>122</v>
      </c>
      <c r="C23" s="73" t="s">
        <v>126</v>
      </c>
      <c r="D23" s="36"/>
      <c r="E23" s="66"/>
      <c r="F23" s="67"/>
      <c r="G23" s="67"/>
      <c r="H23" s="42"/>
    </row>
    <row r="24" spans="1:14">
      <c r="A24" s="55" t="s">
        <v>124</v>
      </c>
      <c r="B24" s="68" t="s">
        <v>124</v>
      </c>
      <c r="C24" s="73" t="s">
        <v>127</v>
      </c>
      <c r="D24" s="36"/>
      <c r="E24" s="66"/>
      <c r="F24" s="67"/>
      <c r="G24" s="67"/>
      <c r="H24" s="42"/>
    </row>
    <row r="25" spans="1:14">
      <c r="A25" s="55" t="s">
        <v>124</v>
      </c>
      <c r="B25" s="68" t="s">
        <v>124</v>
      </c>
      <c r="C25" s="73" t="s">
        <v>128</v>
      </c>
      <c r="D25" s="36"/>
      <c r="E25" s="66"/>
      <c r="F25" s="67"/>
      <c r="G25" s="67"/>
      <c r="H25" s="42"/>
    </row>
    <row r="26" spans="1:14">
      <c r="A26" s="55" t="s">
        <v>124</v>
      </c>
      <c r="B26" s="68" t="s">
        <v>124</v>
      </c>
      <c r="C26" s="73" t="s">
        <v>129</v>
      </c>
      <c r="D26" s="36"/>
      <c r="E26" s="66"/>
      <c r="F26" s="67"/>
      <c r="G26" s="67"/>
      <c r="H26" s="42"/>
    </row>
    <row r="27" spans="1:14">
      <c r="A27" s="55" t="s">
        <v>124</v>
      </c>
      <c r="B27" s="68" t="s">
        <v>124</v>
      </c>
      <c r="C27" s="73" t="s">
        <v>130</v>
      </c>
      <c r="D27" s="36"/>
      <c r="E27" s="66"/>
      <c r="F27" s="67"/>
      <c r="G27" s="67"/>
      <c r="H27" s="42"/>
    </row>
    <row r="28" spans="1:14">
      <c r="A28" s="55" t="s">
        <v>124</v>
      </c>
      <c r="B28" s="68" t="s">
        <v>124</v>
      </c>
      <c r="C28" s="73" t="s">
        <v>131</v>
      </c>
      <c r="D28" s="36"/>
      <c r="E28" s="66"/>
      <c r="F28" s="67"/>
      <c r="G28" s="67"/>
      <c r="H28" s="42"/>
    </row>
    <row r="29" spans="1:14" ht="15.75" thickBot="1">
      <c r="A29" s="56" t="s">
        <v>124</v>
      </c>
      <c r="B29" s="68" t="s">
        <v>124</v>
      </c>
      <c r="C29" s="73" t="s">
        <v>132</v>
      </c>
      <c r="D29" s="36"/>
      <c r="E29" s="66"/>
      <c r="F29" s="67"/>
      <c r="G29" s="67"/>
      <c r="H29" s="42"/>
    </row>
    <row r="30" spans="1:14" ht="15.75" thickBot="1">
      <c r="B30" s="68" t="s">
        <v>124</v>
      </c>
      <c r="C30" s="73" t="s">
        <v>124</v>
      </c>
      <c r="D30" s="47"/>
      <c r="E30" s="48"/>
      <c r="F30" s="49"/>
      <c r="G30" s="49"/>
      <c r="H30" s="50"/>
    </row>
    <row r="31" spans="1:14">
      <c r="B31" s="68" t="s">
        <v>124</v>
      </c>
      <c r="C31" s="73" t="s">
        <v>124</v>
      </c>
      <c r="D31"/>
    </row>
    <row r="32" spans="1:14">
      <c r="B32" s="68" t="s">
        <v>140</v>
      </c>
      <c r="C32" s="73" t="s">
        <v>124</v>
      </c>
    </row>
    <row r="33" spans="2:3" ht="15.75" thickBot="1">
      <c r="B33" s="74"/>
      <c r="C33" s="73" t="s">
        <v>124</v>
      </c>
    </row>
    <row r="34" spans="2:3">
      <c r="C34" s="73" t="s">
        <v>124</v>
      </c>
    </row>
    <row r="35" spans="2:3">
      <c r="C35" s="73" t="s">
        <v>124</v>
      </c>
    </row>
    <row r="36" spans="2:3">
      <c r="C36" s="73" t="s">
        <v>124</v>
      </c>
    </row>
    <row r="37" spans="2:3">
      <c r="C37" s="73" t="s">
        <v>124</v>
      </c>
    </row>
    <row r="38" spans="2:3">
      <c r="C38" s="75" t="s">
        <v>16</v>
      </c>
    </row>
    <row r="39" spans="2:3">
      <c r="C39" s="75" t="s">
        <v>14</v>
      </c>
    </row>
    <row r="40" spans="2:3" ht="30">
      <c r="C40" s="76" t="s">
        <v>145</v>
      </c>
    </row>
    <row r="41" spans="2:3">
      <c r="C41" s="75" t="s">
        <v>16</v>
      </c>
    </row>
    <row r="42" spans="2:3">
      <c r="C42" s="75" t="s">
        <v>16</v>
      </c>
    </row>
    <row r="43" spans="2:3">
      <c r="C43" s="75" t="s">
        <v>16</v>
      </c>
    </row>
    <row r="44" spans="2:3" ht="15.75" thickBot="1">
      <c r="C44" s="77" t="s">
        <v>22</v>
      </c>
    </row>
  </sheetData>
  <mergeCells count="2">
    <mergeCell ref="D9:N9"/>
    <mergeCell ref="J11:N11"/>
  </mergeCell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C00000"/>
  </sheetPr>
  <dimension ref="A1:N44"/>
  <sheetViews>
    <sheetView workbookViewId="0">
      <selection activeCell="B2" sqref="B2"/>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51" t="s">
        <v>33</v>
      </c>
      <c r="C2" s="62" t="s">
        <v>99</v>
      </c>
    </row>
    <row r="3" spans="1:14">
      <c r="A3" s="4" t="s">
        <v>23</v>
      </c>
      <c r="B3" s="52" t="s">
        <v>29</v>
      </c>
    </row>
    <row r="4" spans="1:14">
      <c r="A4" s="4" t="s">
        <v>24</v>
      </c>
      <c r="B4" s="52" t="s">
        <v>28</v>
      </c>
      <c r="D4"/>
    </row>
    <row r="5" spans="1:14">
      <c r="A5" s="4" t="s">
        <v>15</v>
      </c>
      <c r="B5" s="52" t="s">
        <v>27</v>
      </c>
      <c r="D5"/>
    </row>
    <row r="6" spans="1:14" ht="15.75" thickBot="1">
      <c r="A6" s="5" t="s">
        <v>46</v>
      </c>
      <c r="B6" s="53">
        <v>99</v>
      </c>
      <c r="C6" s="61" t="s">
        <v>97</v>
      </c>
      <c r="D6"/>
    </row>
    <row r="7" spans="1:14" ht="15.75" thickBot="1">
      <c r="A7" s="4" t="s">
        <v>25</v>
      </c>
      <c r="B7" s="52" t="s">
        <v>6</v>
      </c>
      <c r="C7" s="65" t="str">
        <f ca="1">RIGHT(CELL("filename"),LEN(CELL("filename"))-FIND("]",CELL("filename")))</f>
        <v>Arduino_SIG_Zoom_2025_12_09</v>
      </c>
    </row>
    <row r="8" spans="1:14" ht="48" customHeight="1" thickBot="1">
      <c r="A8" s="4" t="s">
        <v>26</v>
      </c>
      <c r="B8" s="54" t="s">
        <v>47</v>
      </c>
    </row>
    <row r="9" spans="1:14" ht="19.5" thickBot="1">
      <c r="A9" s="28" t="s">
        <v>19</v>
      </c>
      <c r="B9" s="30" t="s">
        <v>9</v>
      </c>
      <c r="C9" s="29" t="s">
        <v>8</v>
      </c>
      <c r="D9" s="116" t="s">
        <v>20</v>
      </c>
      <c r="E9" s="117"/>
      <c r="F9" s="117"/>
      <c r="G9" s="117"/>
      <c r="H9" s="117"/>
      <c r="I9" s="117"/>
      <c r="J9" s="117"/>
      <c r="K9" s="117"/>
      <c r="L9" s="117"/>
      <c r="M9" s="117"/>
      <c r="N9" s="118"/>
    </row>
    <row r="10" spans="1:14" ht="15.75" thickBot="1">
      <c r="A10" s="55" t="str">
        <f>IF(('EDL Processor'!C2+'EDL Processor'!D2+'EDL Processor'!E2) = 0,"00:00:00 Start", TEXT('EDL Processor'!C2,"00") &amp; ":"  &amp; TEXT('EDL Processor'!D2,"00") &amp;  ":"  &amp; TEXT('EDL Processor'!E2,"00") &amp; " " &amp;  'EDL Processor'!B2)</f>
        <v>00:00:06 Start</v>
      </c>
      <c r="B10" s="68" t="str">
        <f>OneLineDescription</f>
        <v>One Line Description</v>
      </c>
      <c r="C10" s="69" t="str">
        <f>WRAPbox</f>
        <v>&lt;WRAP box&gt;</v>
      </c>
      <c r="D10" s="57" t="s">
        <v>4</v>
      </c>
      <c r="E10" s="58" t="s">
        <v>0</v>
      </c>
      <c r="F10" s="58" t="s">
        <v>1</v>
      </c>
      <c r="G10" s="58" t="s">
        <v>2</v>
      </c>
      <c r="H10" s="59" t="s">
        <v>3</v>
      </c>
    </row>
    <row r="11" spans="1:14" ht="45">
      <c r="A11" s="55" t="str">
        <f>IF(('EDL Processor'!C3+'EDL Processor'!D3+'EDL Processor'!E3) = 0,"", TEXT('EDL Processor'!C3,"00") &amp; ":"  &amp; TEXT('EDL Processor'!D3,"00") &amp;  ":"  &amp; TEXT('EDL Processor'!E3,"00") &amp; " " &amp;  'EDL Processor'!B3)</f>
        <v>00:01:32 Hardware (Processors) Covered</v>
      </c>
      <c r="B11" s="70" t="str">
        <f xml:space="preserve"> YT_Show_More</f>
        <v>Press 'Show More' to review the timeline and jump to a specific chapter.
Timeline:</v>
      </c>
      <c r="C11" s="71" t="str">
        <f xml:space="preserve"> "=====" &amp; BoxTitle &amp; "====="</f>
        <v>====={Box Title Goes Here}=====</v>
      </c>
      <c r="D11" s="43">
        <f t="shared" ref="D11:D30" si="0">(3600*E11)+(60*F11)+G11</f>
        <v>6</v>
      </c>
      <c r="E11" s="44" t="str">
        <f t="shared" ref="E11:E30" si="1">MID($A10,1,2)</f>
        <v>00</v>
      </c>
      <c r="F11" s="45" t="str">
        <f>MID($A10,4,2)</f>
        <v>00</v>
      </c>
      <c r="G11" s="45" t="str">
        <f>MID($A10,7,2)</f>
        <v>06</v>
      </c>
      <c r="H11" s="46" t="str">
        <f>MID($A10,10,99)</f>
        <v>Start</v>
      </c>
      <c r="I11" s="33" t="s">
        <v>7</v>
      </c>
      <c r="J11" s="119" t="s">
        <v>11</v>
      </c>
      <c r="K11" s="120"/>
      <c r="L11" s="120"/>
      <c r="M11" s="120"/>
      <c r="N11" s="121"/>
    </row>
    <row r="12" spans="1:14">
      <c r="A12" s="55" t="str">
        <f>IF(('EDL Processor'!C4+'EDL Processor'!D4+'EDL Processor'!E4) = 0,"", TEXT('EDL Processor'!C4,"00") &amp; ":"  &amp; TEXT('EDL Processor'!D4,"00") &amp;  ":"  &amp; TEXT('EDL Processor'!E4,"00") &amp; " " &amp;  'EDL Processor'!B4)</f>
        <v>00:02:53 Topics Covered During Year</v>
      </c>
      <c r="B12" s="68" t="str">
        <f>IF(A10="Paste timeline here ONLY","",IF(ISBLANK(A10),"",A10))</f>
        <v>00:00:06 Start</v>
      </c>
      <c r="C12" s="71" t="str">
        <f xml:space="preserve"> "====" &amp; txtDateTime &amp; "===="</f>
        <v>===={Date of Zoom Call or When Published}====</v>
      </c>
      <c r="D12" s="36">
        <f t="shared" si="0"/>
        <v>92</v>
      </c>
      <c r="E12" s="66" t="str">
        <f t="shared" si="1"/>
        <v>00</v>
      </c>
      <c r="F12" s="67" t="str">
        <f>MID($A11,4,2)</f>
        <v>01</v>
      </c>
      <c r="G12" s="67" t="str">
        <f>MID($A11,7,2)</f>
        <v>32</v>
      </c>
      <c r="H12" s="42" t="str">
        <f>MID($A11,10,99)</f>
        <v>Hardware (Processors) Covered</v>
      </c>
      <c r="I12" s="33" t="s">
        <v>10</v>
      </c>
      <c r="J12" s="36" t="s">
        <v>12</v>
      </c>
      <c r="K12" s="34"/>
      <c r="L12" s="34"/>
      <c r="M12" s="34"/>
      <c r="N12" s="35"/>
    </row>
    <row r="13" spans="1:14">
      <c r="A13" s="55" t="str">
        <f>IF(('EDL Processor'!C5+'EDL Processor'!D5+'EDL Processor'!E5) = 0,"", TEXT('EDL Processor'!C5,"00") &amp; ":"  &amp; TEXT('EDL Processor'!D5,"00") &amp;  ":"  &amp; TEXT('EDL Processor'!E5,"00") &amp; " " &amp;  'EDL Processor'!B5)</f>
        <v>00:04:00 John' s Highlights for 2025</v>
      </c>
      <c r="B13" s="68" t="str">
        <f>IF(ISBLANK(A11),"",A11)</f>
        <v>00:01:32 Hardware (Processors) Covered</v>
      </c>
      <c r="C13" s="71" t="str">
        <f xml:space="preserve"> "===" &amp; VideoTitle &amp; "==="</f>
        <v>==={Video Title}===</v>
      </c>
      <c r="D13" s="36">
        <f t="shared" si="0"/>
        <v>173</v>
      </c>
      <c r="E13" s="66" t="str">
        <f t="shared" si="1"/>
        <v>00</v>
      </c>
      <c r="F13" s="67" t="str">
        <f t="shared" ref="F13:F30" si="2">MID($A12,4,2)</f>
        <v>02</v>
      </c>
      <c r="G13" s="67" t="str">
        <f t="shared" ref="G13:G30" si="3">MID($A12,7,2)</f>
        <v>53</v>
      </c>
      <c r="H13" s="42" t="str">
        <f t="shared" ref="H13:H30" si="4">MID($A12,10,99)</f>
        <v>Topics Covered During Year</v>
      </c>
      <c r="I13" s="33" t="s">
        <v>10</v>
      </c>
      <c r="J13" s="36" t="s">
        <v>13</v>
      </c>
      <c r="K13" s="37"/>
      <c r="L13" s="37"/>
      <c r="M13" s="37"/>
      <c r="N13" s="38"/>
    </row>
    <row r="14" spans="1:14">
      <c r="A14" s="55" t="str">
        <f>IF(('EDL Processor'!C6+'EDL Processor'!D6+'EDL Processor'!E6) = 0,"", TEXT('EDL Processor'!C6,"00") &amp; ":"  &amp; TEXT('EDL Processor'!D6,"00") &amp;  ":"  &amp; TEXT('EDL Processor'!E6,"00") &amp; " " &amp;  'EDL Processor'!B6)</f>
        <v>00:04:44 Personal Challenges</v>
      </c>
      <c r="B14" s="68" t="str">
        <f t="shared" ref="B14:B31" si="5">IF(ISBLANK(A12),"",A12)</f>
        <v>00:02:53 Topics Covered During Year</v>
      </c>
      <c r="C14" s="71" t="str">
        <f>WRAPcolumn</f>
        <v>&lt;WRAP column&gt;</v>
      </c>
      <c r="D14" s="36">
        <f t="shared" si="0"/>
        <v>240</v>
      </c>
      <c r="E14" s="66" t="str">
        <f t="shared" si="1"/>
        <v>00</v>
      </c>
      <c r="F14" s="67" t="str">
        <f t="shared" si="2"/>
        <v>04</v>
      </c>
      <c r="G14" s="67" t="str">
        <f t="shared" si="3"/>
        <v>00</v>
      </c>
      <c r="H14" s="42" t="str">
        <f t="shared" si="4"/>
        <v>John' s Highlights for 2025</v>
      </c>
      <c r="I14" s="33" t="s">
        <v>10</v>
      </c>
      <c r="J14" s="36" t="s">
        <v>14</v>
      </c>
      <c r="K14" s="37"/>
      <c r="L14" s="37"/>
      <c r="M14" s="37"/>
      <c r="N14" s="38"/>
    </row>
    <row r="15" spans="1:14">
      <c r="A15" s="55" t="str">
        <f>IF(('EDL Processor'!C7+'EDL Processor'!D7+'EDL Processor'!E7) = 0,"", TEXT('EDL Processor'!C7,"00") &amp; ":"  &amp; TEXT('EDL Processor'!D7,"00") &amp;  ":"  &amp; TEXT('EDL Processor'!E7,"00") &amp; " " &amp;  'EDL Processor'!B7)</f>
        <v>00:08:06 Where from Here? (users perspective)</v>
      </c>
      <c r="B15" s="68" t="str">
        <f t="shared" si="5"/>
        <v>00:04:00 John' s Highlights for 2025</v>
      </c>
      <c r="C15" s="71" t="str">
        <f>WRAPcolumnhalf</f>
        <v>&lt;WRAP column half&gt;</v>
      </c>
      <c r="D15" s="36">
        <f t="shared" si="0"/>
        <v>284</v>
      </c>
      <c r="E15" s="66" t="str">
        <f t="shared" si="1"/>
        <v>00</v>
      </c>
      <c r="F15" s="67" t="str">
        <f t="shared" si="2"/>
        <v>04</v>
      </c>
      <c r="G15" s="67" t="str">
        <f t="shared" si="3"/>
        <v>44</v>
      </c>
      <c r="H15" s="42" t="str">
        <f t="shared" si="4"/>
        <v>Personal Challenges</v>
      </c>
      <c r="I15" s="33" t="s">
        <v>10</v>
      </c>
      <c r="J15" s="39" t="s">
        <v>16</v>
      </c>
      <c r="K15" s="37"/>
      <c r="L15" s="37"/>
      <c r="M15" s="37"/>
      <c r="N15" s="38"/>
    </row>
    <row r="16" spans="1:14">
      <c r="A16" s="55" t="str">
        <f>IF(('EDL Processor'!C8+'EDL Processor'!D8+'EDL Processor'!E8) = 0,"", TEXT('EDL Processor'!C8,"00") &amp; ":"  &amp; TEXT('EDL Processor'!D8,"00") &amp;  ":"  &amp; TEXT('EDL Processor'!E8,"00") &amp; " " &amp;  'EDL Processor'!B8)</f>
        <v>00:08:56 Where from Here? (Developers perspective)</v>
      </c>
      <c r="B16" s="68" t="str">
        <f t="shared" si="5"/>
        <v>00:04:44 Personal Challenges</v>
      </c>
      <c r="C16" s="72" t="str">
        <f>LongDescription</f>
        <v>Long Description here. Use \\ as EOL marker to force a new line on Wiki.</v>
      </c>
      <c r="D16" s="36">
        <f t="shared" si="0"/>
        <v>486</v>
      </c>
      <c r="E16" s="66" t="str">
        <f t="shared" si="1"/>
        <v>00</v>
      </c>
      <c r="F16" s="67" t="str">
        <f t="shared" si="2"/>
        <v>08</v>
      </c>
      <c r="G16" s="67" t="str">
        <f t="shared" si="3"/>
        <v>06</v>
      </c>
      <c r="H16" s="42" t="str">
        <f t="shared" si="4"/>
        <v>Where from Here? (users perspective)</v>
      </c>
      <c r="I16" s="33" t="s">
        <v>10</v>
      </c>
      <c r="J16" s="40" t="s">
        <v>21</v>
      </c>
      <c r="K16" s="41"/>
      <c r="L16" s="41"/>
      <c r="M16" s="41"/>
      <c r="N16" s="42"/>
    </row>
    <row r="17" spans="1:14">
      <c r="A17" s="55" t="str">
        <f>IF(('EDL Processor'!C9+'EDL Processor'!D9+'EDL Processor'!E9) = 0,"", TEXT('EDL Processor'!C9,"00") &amp; ":"  &amp; TEXT('EDL Processor'!D9,"00") &amp;  ":"  &amp; TEXT('EDL Processor'!E9,"00") &amp; " " &amp;  'EDL Processor'!B9)</f>
        <v>00:09:31 Platform I/O Gets a mention</v>
      </c>
      <c r="B17" s="68" t="str">
        <f t="shared" si="5"/>
        <v>00:08:06 Where from Here? (users perspective)</v>
      </c>
      <c r="C17" s="72" t="str">
        <f>EOL</f>
        <v>\\</v>
      </c>
      <c r="D17" s="36">
        <f t="shared" si="0"/>
        <v>536</v>
      </c>
      <c r="E17" s="66" t="str">
        <f t="shared" si="1"/>
        <v>00</v>
      </c>
      <c r="F17" s="67" t="str">
        <f t="shared" si="2"/>
        <v>08</v>
      </c>
      <c r="G17" s="67" t="str">
        <f t="shared" si="3"/>
        <v>56</v>
      </c>
      <c r="H17" s="42" t="str">
        <f t="shared" si="4"/>
        <v>Where from Here? (Developers perspective)</v>
      </c>
      <c r="I17" s="33"/>
      <c r="J17" s="40"/>
      <c r="K17" s="41"/>
      <c r="L17" s="41"/>
      <c r="M17" s="41"/>
      <c r="N17" s="42"/>
    </row>
    <row r="18" spans="1:14">
      <c r="A18" s="55" t="str">
        <f>IF(('EDL Processor'!C10+'EDL Processor'!D10+'EDL Processor'!E10) = 0,"", TEXT('EDL Processor'!C10,"00") &amp; ":"  &amp; TEXT('EDL Processor'!D10,"00") &amp;  ":"  &amp; TEXT('EDL Processor'!E10,"00") &amp; " " &amp;  'EDL Processor'!B10)</f>
        <v>00:10:27 MERG 2025</v>
      </c>
      <c r="B18" s="68" t="str">
        <f t="shared" si="5"/>
        <v>00:08:56 Where from Here? (Developers perspective)</v>
      </c>
      <c r="C18" s="73" t="str">
        <f t="shared" ref="C18:C37" si="6">IFERROR(IF(ISBLANK($A10),"","[["&amp;YT_URL&amp;"?t="&amp;$D11&amp;"|"&amp; IF(LT1Hr = FALSE,MID($A10,1,8), MID($A10,1,5))&amp;"]] " &amp;$H11&amp;"\\"),"")</f>
        <v>[[YouTube_URL Goes Here?t=6|00:00:06]] Start\\</v>
      </c>
      <c r="D18" s="36">
        <f t="shared" si="0"/>
        <v>571</v>
      </c>
      <c r="E18" s="66" t="str">
        <f t="shared" si="1"/>
        <v>00</v>
      </c>
      <c r="F18" s="67" t="str">
        <f t="shared" si="2"/>
        <v>09</v>
      </c>
      <c r="G18" s="67" t="str">
        <f t="shared" si="3"/>
        <v>31</v>
      </c>
      <c r="H18" s="42" t="str">
        <f t="shared" si="4"/>
        <v>Platform I/O Gets a mention</v>
      </c>
    </row>
    <row r="19" spans="1:14">
      <c r="A19" s="55" t="str">
        <f>IF(('EDL Processor'!C11+'EDL Processor'!D11+'EDL Processor'!E11) = 0,"", TEXT('EDL Processor'!C11,"00") &amp; ":"  &amp; TEXT('EDL Processor'!D11,"00") &amp;  ":"  &amp; TEXT('EDL Processor'!E11,"00") &amp; " " &amp;  'EDL Processor'!B11)</f>
        <v>00:13:51 End of Presnetation / Final Words</v>
      </c>
      <c r="B19" s="68" t="str">
        <f t="shared" si="5"/>
        <v>00:09:31 Platform I/O Gets a mention</v>
      </c>
      <c r="C19" s="73" t="str">
        <f t="shared" si="6"/>
        <v>[[YouTube_URL Goes Here?t=92|00:01:32]] Hardware (Processors) Covered\\</v>
      </c>
      <c r="D19" s="36">
        <f t="shared" si="0"/>
        <v>627</v>
      </c>
      <c r="E19" s="66" t="str">
        <f t="shared" si="1"/>
        <v>00</v>
      </c>
      <c r="F19" s="67" t="str">
        <f t="shared" si="2"/>
        <v>10</v>
      </c>
      <c r="G19" s="67" t="str">
        <f t="shared" si="3"/>
        <v>27</v>
      </c>
      <c r="H19" s="42" t="str">
        <f t="shared" si="4"/>
        <v>MERG 2025</v>
      </c>
    </row>
    <row r="20" spans="1:14">
      <c r="A20" s="55" t="str">
        <f>IF(('EDL Processor'!C12+'EDL Processor'!D12+'EDL Processor'!E12) = 0,"", TEXT('EDL Processor'!C12,"00") &amp; ":"  &amp; TEXT('EDL Processor'!D12,"00") &amp;  ":"  &amp; TEXT('EDL Processor'!E12,"00") &amp; " " &amp;  'EDL Processor'!B12)</f>
        <v/>
      </c>
      <c r="B20" s="68" t="str">
        <f t="shared" si="5"/>
        <v>00:10:27 MERG 2025</v>
      </c>
      <c r="C20" s="73" t="str">
        <f t="shared" si="6"/>
        <v>[[YouTube_URL Goes Here?t=173|00:02:53]] Topics Covered During Year\\</v>
      </c>
      <c r="D20" s="36">
        <f t="shared" si="0"/>
        <v>831</v>
      </c>
      <c r="E20" s="66" t="str">
        <f t="shared" si="1"/>
        <v>00</v>
      </c>
      <c r="F20" s="67" t="str">
        <f t="shared" si="2"/>
        <v>13</v>
      </c>
      <c r="G20" s="67" t="str">
        <f t="shared" si="3"/>
        <v>51</v>
      </c>
      <c r="H20" s="42" t="str">
        <f t="shared" si="4"/>
        <v>End of Presnetation / Final Words</v>
      </c>
    </row>
    <row r="21" spans="1:14">
      <c r="A21" s="55" t="str">
        <f>IF(('EDL Processor'!C13+'EDL Processor'!D13+'EDL Processor'!E13) = 0,"", TEXT('EDL Processor'!C13,"00") &amp; ":"  &amp; TEXT('EDL Processor'!D13,"00") &amp;  ":"  &amp; TEXT('EDL Processor'!E13,"00") &amp; " " &amp;  'EDL Processor'!B13)</f>
        <v/>
      </c>
      <c r="B21" s="68" t="str">
        <f t="shared" si="5"/>
        <v>00:13:51 End of Presnetation / Final Words</v>
      </c>
      <c r="C21" s="73" t="str">
        <f t="shared" si="6"/>
        <v>[[YouTube_URL Goes Here?t=240|00:04:00]] John' s Highlights for 2025\\</v>
      </c>
      <c r="D21" s="36" t="e">
        <f t="shared" si="0"/>
        <v>#VALUE!</v>
      </c>
      <c r="E21" s="66" t="str">
        <f t="shared" si="1"/>
        <v/>
      </c>
      <c r="F21" s="67" t="str">
        <f t="shared" si="2"/>
        <v/>
      </c>
      <c r="G21" s="67" t="str">
        <f t="shared" si="3"/>
        <v/>
      </c>
      <c r="H21" s="42" t="str">
        <f t="shared" si="4"/>
        <v/>
      </c>
    </row>
    <row r="22" spans="1:14">
      <c r="A22" s="55" t="str">
        <f>IF(('EDL Processor'!C14+'EDL Processor'!D14+'EDL Processor'!E14) = 0,"", TEXT('EDL Processor'!C14,"00") &amp; ":"  &amp; TEXT('EDL Processor'!D14,"00") &amp;  ":"  &amp; TEXT('EDL Processor'!E14,"00") &amp; " " &amp;  'EDL Processor'!B14)</f>
        <v/>
      </c>
      <c r="B22" s="68" t="str">
        <f t="shared" si="5"/>
        <v/>
      </c>
      <c r="C22" s="73" t="str">
        <f t="shared" si="6"/>
        <v>[[YouTube_URL Goes Here?t=284|00:04:44]] Personal Challenges\\</v>
      </c>
      <c r="D22" s="36" t="e">
        <f t="shared" si="0"/>
        <v>#VALUE!</v>
      </c>
      <c r="E22" s="66" t="str">
        <f t="shared" si="1"/>
        <v/>
      </c>
      <c r="F22" s="67" t="str">
        <f t="shared" si="2"/>
        <v/>
      </c>
      <c r="G22" s="67" t="str">
        <f t="shared" si="3"/>
        <v/>
      </c>
      <c r="H22" s="42" t="str">
        <f t="shared" si="4"/>
        <v/>
      </c>
    </row>
    <row r="23" spans="1:14">
      <c r="A23" s="55" t="str">
        <f>IF(('EDL Processor'!C15+'EDL Processor'!D15+'EDL Processor'!E15) = 0,"", TEXT('EDL Processor'!C15,"00") &amp; ":"  &amp; TEXT('EDL Processor'!D15,"00") &amp;  ":"  &amp; TEXT('EDL Processor'!E15,"00") &amp; " " &amp;  'EDL Processor'!B15)</f>
        <v/>
      </c>
      <c r="B23" s="68" t="str">
        <f t="shared" si="5"/>
        <v/>
      </c>
      <c r="C23" s="73" t="str">
        <f t="shared" si="6"/>
        <v>[[YouTube_URL Goes Here?t=486|00:08:06]] Where from Here? (users perspective)\\</v>
      </c>
      <c r="D23" s="36" t="e">
        <f t="shared" si="0"/>
        <v>#VALUE!</v>
      </c>
      <c r="E23" s="66" t="str">
        <f t="shared" si="1"/>
        <v/>
      </c>
      <c r="F23" s="67" t="str">
        <f t="shared" si="2"/>
        <v/>
      </c>
      <c r="G23" s="67" t="str">
        <f t="shared" si="3"/>
        <v/>
      </c>
      <c r="H23" s="42" t="str">
        <f t="shared" si="4"/>
        <v/>
      </c>
    </row>
    <row r="24" spans="1:14">
      <c r="A24" s="55" t="str">
        <f>IF(('EDL Processor'!C16+'EDL Processor'!D16+'EDL Processor'!E16) = 0,"", TEXT('EDL Processor'!C16,"00") &amp; ":"  &amp; TEXT('EDL Processor'!D16,"00") &amp;  ":"  &amp; TEXT('EDL Processor'!E16,"00") &amp; " " &amp;  'EDL Processor'!B16)</f>
        <v/>
      </c>
      <c r="B24" s="68" t="str">
        <f t="shared" si="5"/>
        <v/>
      </c>
      <c r="C24" s="73" t="str">
        <f t="shared" si="6"/>
        <v>[[YouTube_URL Goes Here?t=536|00:08:56]] Where from Here? (Developers perspective)\\</v>
      </c>
      <c r="D24" s="36" t="e">
        <f t="shared" si="0"/>
        <v>#VALUE!</v>
      </c>
      <c r="E24" s="66" t="str">
        <f t="shared" si="1"/>
        <v/>
      </c>
      <c r="F24" s="67" t="str">
        <f t="shared" si="2"/>
        <v/>
      </c>
      <c r="G24" s="67" t="str">
        <f t="shared" si="3"/>
        <v/>
      </c>
      <c r="H24" s="42" t="str">
        <f t="shared" si="4"/>
        <v/>
      </c>
    </row>
    <row r="25" spans="1:14">
      <c r="A25" s="55" t="str">
        <f>IF(('EDL Processor'!C17+'EDL Processor'!D17+'EDL Processor'!E17) = 0,"", TEXT('EDL Processor'!C17,"00") &amp; ":"  &amp; TEXT('EDL Processor'!D17,"00") &amp;  ":"  &amp; TEXT('EDL Processor'!E17,"00") &amp; " " &amp;  'EDL Processor'!B17)</f>
        <v/>
      </c>
      <c r="B25" s="68" t="str">
        <f t="shared" si="5"/>
        <v/>
      </c>
      <c r="C25" s="73" t="str">
        <f t="shared" si="6"/>
        <v>[[YouTube_URL Goes Here?t=571|00:09:31]] Platform I/O Gets a mention\\</v>
      </c>
      <c r="D25" s="36" t="e">
        <f t="shared" si="0"/>
        <v>#VALUE!</v>
      </c>
      <c r="E25" s="66" t="str">
        <f t="shared" si="1"/>
        <v/>
      </c>
      <c r="F25" s="67" t="str">
        <f t="shared" si="2"/>
        <v/>
      </c>
      <c r="G25" s="67" t="str">
        <f t="shared" si="3"/>
        <v/>
      </c>
      <c r="H25" s="42" t="str">
        <f t="shared" si="4"/>
        <v/>
      </c>
    </row>
    <row r="26" spans="1:14">
      <c r="A26" s="55" t="str">
        <f>IF(('EDL Processor'!C18+'EDL Processor'!D18+'EDL Processor'!E18) = 0,"", TEXT('EDL Processor'!C18,"00") &amp; ":"  &amp; TEXT('EDL Processor'!D18,"00") &amp;  ":"  &amp; TEXT('EDL Processor'!E18,"00") &amp; " " &amp;  'EDL Processor'!B18)</f>
        <v/>
      </c>
      <c r="B26" s="68" t="str">
        <f t="shared" si="5"/>
        <v/>
      </c>
      <c r="C26" s="73" t="str">
        <f t="shared" si="6"/>
        <v>[[YouTube_URL Goes Here?t=627|00:10:27]] MERG 2025\\</v>
      </c>
      <c r="D26" s="36" t="e">
        <f t="shared" si="0"/>
        <v>#VALUE!</v>
      </c>
      <c r="E26" s="66" t="str">
        <f t="shared" si="1"/>
        <v/>
      </c>
      <c r="F26" s="67" t="str">
        <f t="shared" si="2"/>
        <v/>
      </c>
      <c r="G26" s="67" t="str">
        <f t="shared" si="3"/>
        <v/>
      </c>
      <c r="H26" s="42" t="str">
        <f t="shared" si="4"/>
        <v/>
      </c>
    </row>
    <row r="27" spans="1:14">
      <c r="A27" s="55" t="str">
        <f>IF(('EDL Processor'!C19+'EDL Processor'!D19+'EDL Processor'!E19) = 0,"", TEXT('EDL Processor'!C19,"00") &amp; ":"  &amp; TEXT('EDL Processor'!D19,"00") &amp;  ":"  &amp; TEXT('EDL Processor'!E19,"00") &amp; " " &amp;  'EDL Processor'!B19)</f>
        <v/>
      </c>
      <c r="B27" s="68" t="str">
        <f t="shared" si="5"/>
        <v/>
      </c>
      <c r="C27" s="73" t="str">
        <f t="shared" si="6"/>
        <v>[[YouTube_URL Goes Here?t=831|00:13:51]] End of Presnetation / Final Words\\</v>
      </c>
      <c r="D27" s="36" t="e">
        <f t="shared" si="0"/>
        <v>#VALUE!</v>
      </c>
      <c r="E27" s="66" t="str">
        <f t="shared" si="1"/>
        <v/>
      </c>
      <c r="F27" s="67" t="str">
        <f t="shared" si="2"/>
        <v/>
      </c>
      <c r="G27" s="67" t="str">
        <f t="shared" si="3"/>
        <v/>
      </c>
      <c r="H27" s="42" t="str">
        <f t="shared" si="4"/>
        <v/>
      </c>
    </row>
    <row r="28" spans="1:14">
      <c r="A28" s="55" t="str">
        <f>IF(('EDL Processor'!C20+'EDL Processor'!D20+'EDL Processor'!E20) = 0,"", TEXT('EDL Processor'!C20,"00") &amp; ":"  &amp; TEXT('EDL Processor'!D20,"00") &amp;  ":"  &amp; TEXT('EDL Processor'!E20,"00") &amp; " " &amp;  'EDL Processor'!B20)</f>
        <v/>
      </c>
      <c r="B28" s="68" t="str">
        <f t="shared" si="5"/>
        <v/>
      </c>
      <c r="C28" s="73" t="str">
        <f t="shared" si="6"/>
        <v/>
      </c>
      <c r="D28" s="36" t="e">
        <f t="shared" si="0"/>
        <v>#VALUE!</v>
      </c>
      <c r="E28" s="66" t="str">
        <f t="shared" si="1"/>
        <v/>
      </c>
      <c r="F28" s="67" t="str">
        <f t="shared" si="2"/>
        <v/>
      </c>
      <c r="G28" s="67" t="str">
        <f t="shared" si="3"/>
        <v/>
      </c>
      <c r="H28" s="42" t="str">
        <f t="shared" si="4"/>
        <v/>
      </c>
    </row>
    <row r="29" spans="1:14" ht="15.75" thickBot="1">
      <c r="A29" s="56" t="str">
        <f>IF(('EDL Processor'!C21+'EDL Processor'!D21+'EDL Processor'!E21) = 0,"", TEXT('EDL Processor'!C21,"00") &amp; ":"  &amp; TEXT('EDL Processor'!D21,"00") &amp;  ":"  &amp; TEXT('EDL Processor'!E21,"00") &amp; " " &amp;  'EDL Processor'!B21)</f>
        <v/>
      </c>
      <c r="B29" s="68" t="str">
        <f t="shared" si="5"/>
        <v/>
      </c>
      <c r="C29" s="73" t="str">
        <f t="shared" si="6"/>
        <v/>
      </c>
      <c r="D29" s="36" t="e">
        <f t="shared" si="0"/>
        <v>#VALUE!</v>
      </c>
      <c r="E29" s="66" t="str">
        <f t="shared" si="1"/>
        <v/>
      </c>
      <c r="F29" s="67" t="str">
        <f t="shared" si="2"/>
        <v/>
      </c>
      <c r="G29" s="67" t="str">
        <f t="shared" si="3"/>
        <v/>
      </c>
      <c r="H29" s="42" t="str">
        <f t="shared" si="4"/>
        <v/>
      </c>
    </row>
    <row r="30" spans="1:14" ht="15.75" thickBot="1">
      <c r="B30" s="68" t="str">
        <f t="shared" si="5"/>
        <v/>
      </c>
      <c r="C30" s="73" t="str">
        <f t="shared" si="6"/>
        <v/>
      </c>
      <c r="D30" s="47" t="e">
        <f t="shared" si="0"/>
        <v>#VALUE!</v>
      </c>
      <c r="E30" s="48" t="str">
        <f t="shared" si="1"/>
        <v/>
      </c>
      <c r="F30" s="49" t="str">
        <f t="shared" si="2"/>
        <v/>
      </c>
      <c r="G30" s="49" t="str">
        <f t="shared" si="3"/>
        <v/>
      </c>
      <c r="H30" s="50" t="str">
        <f t="shared" si="4"/>
        <v/>
      </c>
    </row>
    <row r="31" spans="1:14">
      <c r="B31" s="68" t="str">
        <f t="shared" si="5"/>
        <v/>
      </c>
      <c r="C31" s="73" t="str">
        <f t="shared" si="6"/>
        <v/>
      </c>
      <c r="D31"/>
    </row>
    <row r="32" spans="1:14">
      <c r="B32" s="68" t="str">
        <f>IF(ISBLANK(LongDescription),"",LongDescription)</f>
        <v>Long Description here. Use \\ as EOL marker to force a new line on Wiki.</v>
      </c>
      <c r="C32" s="73" t="str">
        <f t="shared" si="6"/>
        <v/>
      </c>
    </row>
    <row r="33" spans="2:3" ht="15.75" thickBot="1">
      <c r="B33" s="74"/>
      <c r="C33" s="73" t="str">
        <f t="shared" si="6"/>
        <v/>
      </c>
    </row>
    <row r="34" spans="2:3">
      <c r="C34" s="73" t="str">
        <f t="shared" si="6"/>
        <v/>
      </c>
    </row>
    <row r="35" spans="2:3">
      <c r="C35" s="73" t="str">
        <f t="shared" si="6"/>
        <v/>
      </c>
    </row>
    <row r="36" spans="2:3">
      <c r="C36" s="73" t="str">
        <f t="shared" si="6"/>
        <v/>
      </c>
    </row>
    <row r="37" spans="2:3">
      <c r="C37" s="73" t="str">
        <f t="shared" si="6"/>
        <v/>
      </c>
    </row>
    <row r="38" spans="2:3">
      <c r="C38" s="75" t="str">
        <f>EndWrap</f>
        <v>&lt;/WRAP&gt;</v>
      </c>
    </row>
    <row r="39" spans="2:3">
      <c r="C39" s="75" t="str">
        <f>WRAPcolumnhalf</f>
        <v>&lt;WRAP column half&gt;</v>
      </c>
    </row>
    <row r="40" spans="2:3" ht="30">
      <c r="C40" s="76" t="str">
        <f>"{{:subjects:msag_youtube_icon.jpg?40 |A YouTube video}} [[" &amp; YT_URL &amp; "|" &amp; VideoTitle &amp; "]] ("&amp; YT_minutes  &amp; " mins) {{youtube&gt;" &amp;  MID(YT_URL,18,99) &amp;  "}}\\"</f>
        <v>{{:subjects:msag_youtube_icon.jpg?40 |A YouTube video}} [[YouTube_URL Goes Here|{Video Title}]] (99 mins) {{youtube&gt;Here}}\\</v>
      </c>
    </row>
    <row r="41" spans="2:3">
      <c r="C41" s="75" t="str">
        <f>EndWrap</f>
        <v>&lt;/WRAP&gt;</v>
      </c>
    </row>
    <row r="42" spans="2:3">
      <c r="C42" s="75" t="str">
        <f>EndWrap</f>
        <v>&lt;/WRAP&gt;</v>
      </c>
    </row>
    <row r="43" spans="2:3">
      <c r="C43" s="75" t="str">
        <f>EndWrap</f>
        <v>&lt;/WRAP&gt;</v>
      </c>
    </row>
    <row r="44" spans="2:3" ht="15.75" thickBot="1">
      <c r="C44" s="77" t="s">
        <v>22</v>
      </c>
    </row>
  </sheetData>
  <mergeCells count="2">
    <mergeCell ref="J11:N11"/>
    <mergeCell ref="D9:N9"/>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31" r:id="rId4" name="btn_Select_EDL_File">
          <controlPr defaultSize="0" autoLine="0" r:id="rId5">
            <anchor moveWithCells="1">
              <from>
                <xdr:col>2</xdr:col>
                <xdr:colOff>352425</xdr:colOff>
                <xdr:row>2</xdr:row>
                <xdr:rowOff>104775</xdr:rowOff>
              </from>
              <to>
                <xdr:col>2</xdr:col>
                <xdr:colOff>1714500</xdr:colOff>
                <xdr:row>4</xdr:row>
                <xdr:rowOff>66675</xdr:rowOff>
              </to>
            </anchor>
          </controlPr>
        </control>
      </mc:Choice>
      <mc:Fallback>
        <control shapeId="1031" r:id="rId4" name="btn_Select_EDL_File"/>
      </mc:Fallback>
    </mc:AlternateContent>
    <mc:AlternateContent xmlns:mc="http://schemas.openxmlformats.org/markup-compatibility/2006">
      <mc:Choice Requires="x14">
        <control shapeId="1032" r:id="rId6" name="Button 8">
          <controlPr defaultSize="0" print="0" autoFill="0" autoPict="0" macro="[0]!Sheet3.ConvertToValues">
            <anchor moveWithCells="1" sizeWithCells="1">
              <from>
                <xdr:col>2</xdr:col>
                <xdr:colOff>3600450</xdr:colOff>
                <xdr:row>2</xdr:row>
                <xdr:rowOff>104775</xdr:rowOff>
              </from>
              <to>
                <xdr:col>2</xdr:col>
                <xdr:colOff>5238750</xdr:colOff>
                <xdr:row>4</xdr:row>
                <xdr:rowOff>95250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A218C-BCCA-44D9-91C3-B167AB3CDD48}">
  <sheetPr codeName="Sheet2"/>
  <dimension ref="A1:L51"/>
  <sheetViews>
    <sheetView workbookViewId="0"/>
  </sheetViews>
  <sheetFormatPr defaultRowHeight="15"/>
  <cols>
    <col min="1" max="1" width="8.28515625" style="60" bestFit="1" customWidth="1"/>
    <col min="2" max="2" width="41.28515625" style="60" bestFit="1" customWidth="1"/>
    <col min="3" max="3" width="7.5703125" style="60" bestFit="1" customWidth="1"/>
    <col min="4" max="4" width="9.140625" style="60" bestFit="1" customWidth="1"/>
    <col min="5" max="5" width="8.5703125" style="60" bestFit="1" customWidth="1"/>
    <col min="6" max="6" width="10.28515625" style="60" bestFit="1" customWidth="1"/>
    <col min="7" max="7" width="6.7109375" style="60" bestFit="1" customWidth="1"/>
    <col min="8" max="8" width="8.28515625" style="60" bestFit="1" customWidth="1"/>
    <col min="9" max="9" width="7.7109375" style="60" bestFit="1" customWidth="1"/>
    <col min="10" max="10" width="9.42578125" style="60" bestFit="1" customWidth="1"/>
    <col min="11" max="11" width="4.7109375" customWidth="1"/>
    <col min="12" max="12" width="210.42578125" bestFit="1" customWidth="1"/>
    <col min="25" max="25" width="24.140625" bestFit="1" customWidth="1"/>
  </cols>
  <sheetData>
    <row r="1" spans="1:12" ht="15.75" thickBot="1">
      <c r="A1" s="127" t="s">
        <v>48</v>
      </c>
      <c r="B1" s="127" t="s">
        <v>49</v>
      </c>
      <c r="C1" s="127" t="s">
        <v>50</v>
      </c>
      <c r="D1" s="127" t="s">
        <v>51</v>
      </c>
      <c r="E1" s="127" t="s">
        <v>52</v>
      </c>
      <c r="F1" s="127" t="s">
        <v>53</v>
      </c>
      <c r="G1" s="127" t="s">
        <v>54</v>
      </c>
      <c r="H1" s="127" t="s">
        <v>55</v>
      </c>
      <c r="I1" s="127" t="s">
        <v>56</v>
      </c>
      <c r="J1" s="127" t="s">
        <v>57</v>
      </c>
      <c r="L1" s="61" t="s">
        <v>58</v>
      </c>
    </row>
    <row r="2" spans="1:12" ht="15.75" thickBot="1">
      <c r="A2" s="126" t="s">
        <v>153</v>
      </c>
      <c r="B2" s="126" t="s">
        <v>191</v>
      </c>
      <c r="C2" s="60">
        <v>0</v>
      </c>
      <c r="D2" s="60">
        <v>0</v>
      </c>
      <c r="E2" s="60">
        <v>6</v>
      </c>
      <c r="F2" s="60">
        <v>19</v>
      </c>
      <c r="G2" s="60">
        <v>0</v>
      </c>
      <c r="H2" s="60">
        <v>0</v>
      </c>
      <c r="I2" s="60">
        <v>6</v>
      </c>
      <c r="J2" s="60">
        <v>20</v>
      </c>
      <c r="L2" s="62" t="s">
        <v>215</v>
      </c>
    </row>
    <row r="3" spans="1:12">
      <c r="A3" s="126" t="s">
        <v>154</v>
      </c>
      <c r="B3" s="126" t="s">
        <v>218</v>
      </c>
      <c r="C3" s="60">
        <v>0</v>
      </c>
      <c r="D3" s="60">
        <v>1</v>
      </c>
      <c r="E3" s="60">
        <v>32</v>
      </c>
      <c r="F3" s="60">
        <v>2</v>
      </c>
      <c r="G3" s="60">
        <v>0</v>
      </c>
      <c r="H3" s="60">
        <v>1</v>
      </c>
      <c r="I3" s="60">
        <v>32</v>
      </c>
      <c r="J3" s="60">
        <v>3</v>
      </c>
    </row>
    <row r="4" spans="1:12">
      <c r="A4" s="126" t="s">
        <v>159</v>
      </c>
      <c r="B4" s="126" t="s">
        <v>219</v>
      </c>
      <c r="C4" s="60">
        <v>0</v>
      </c>
      <c r="D4" s="60">
        <v>2</v>
      </c>
      <c r="E4" s="60">
        <v>53</v>
      </c>
      <c r="F4" s="60">
        <v>12</v>
      </c>
      <c r="G4" s="60">
        <v>0</v>
      </c>
      <c r="H4" s="60">
        <v>2</v>
      </c>
      <c r="I4" s="60">
        <v>53</v>
      </c>
      <c r="J4" s="60">
        <v>13</v>
      </c>
    </row>
    <row r="5" spans="1:12">
      <c r="A5" s="126" t="s">
        <v>160</v>
      </c>
      <c r="B5" s="126" t="s">
        <v>220</v>
      </c>
      <c r="C5" s="60">
        <v>0</v>
      </c>
      <c r="D5" s="60">
        <v>4</v>
      </c>
      <c r="E5" s="60">
        <v>0</v>
      </c>
      <c r="F5" s="60">
        <v>10</v>
      </c>
      <c r="G5" s="60">
        <v>0</v>
      </c>
      <c r="H5" s="60">
        <v>4</v>
      </c>
      <c r="I5" s="60">
        <v>0</v>
      </c>
      <c r="J5" s="60">
        <v>11</v>
      </c>
    </row>
    <row r="6" spans="1:12">
      <c r="A6" s="126" t="s">
        <v>161</v>
      </c>
      <c r="B6" s="126" t="s">
        <v>221</v>
      </c>
      <c r="C6" s="60">
        <v>0</v>
      </c>
      <c r="D6" s="60">
        <v>4</v>
      </c>
      <c r="E6" s="60">
        <v>44</v>
      </c>
      <c r="F6" s="60">
        <v>18</v>
      </c>
      <c r="G6" s="60">
        <v>0</v>
      </c>
      <c r="H6" s="60">
        <v>4</v>
      </c>
      <c r="I6" s="60">
        <v>44</v>
      </c>
      <c r="J6" s="60">
        <v>19</v>
      </c>
    </row>
    <row r="7" spans="1:12">
      <c r="A7" s="126" t="s">
        <v>155</v>
      </c>
      <c r="B7" s="126" t="s">
        <v>222</v>
      </c>
      <c r="C7" s="60">
        <v>0</v>
      </c>
      <c r="D7" s="60">
        <v>8</v>
      </c>
      <c r="E7" s="60">
        <v>6</v>
      </c>
      <c r="F7" s="60">
        <v>23</v>
      </c>
      <c r="G7" s="60">
        <v>0</v>
      </c>
      <c r="H7" s="60">
        <v>8</v>
      </c>
      <c r="I7" s="60">
        <v>6</v>
      </c>
      <c r="J7" s="60">
        <v>24</v>
      </c>
      <c r="L7" s="60"/>
    </row>
    <row r="8" spans="1:12">
      <c r="A8" s="126" t="s">
        <v>162</v>
      </c>
      <c r="B8" s="102" t="s">
        <v>223</v>
      </c>
      <c r="C8" s="60">
        <v>0</v>
      </c>
      <c r="D8" s="60">
        <v>8</v>
      </c>
      <c r="E8" s="60">
        <v>56</v>
      </c>
      <c r="F8" s="60">
        <v>4</v>
      </c>
      <c r="G8" s="60">
        <v>0</v>
      </c>
      <c r="H8" s="60">
        <v>8</v>
      </c>
      <c r="I8" s="60">
        <v>56</v>
      </c>
      <c r="J8" s="60">
        <v>5</v>
      </c>
    </row>
    <row r="9" spans="1:12">
      <c r="A9" s="126" t="s">
        <v>156</v>
      </c>
      <c r="B9" s="102" t="s">
        <v>224</v>
      </c>
      <c r="C9" s="60">
        <v>0</v>
      </c>
      <c r="D9" s="60">
        <v>9</v>
      </c>
      <c r="E9" s="60">
        <v>31</v>
      </c>
      <c r="F9" s="60">
        <v>17</v>
      </c>
      <c r="G9" s="60">
        <v>0</v>
      </c>
      <c r="H9" s="60">
        <v>9</v>
      </c>
      <c r="I9" s="60">
        <v>31</v>
      </c>
      <c r="J9" s="60">
        <v>18</v>
      </c>
      <c r="L9" s="63" t="s">
        <v>59</v>
      </c>
    </row>
    <row r="10" spans="1:12">
      <c r="A10" s="126" t="s">
        <v>157</v>
      </c>
      <c r="B10" s="126" t="s">
        <v>225</v>
      </c>
      <c r="C10" s="60">
        <v>0</v>
      </c>
      <c r="D10" s="60">
        <v>10</v>
      </c>
      <c r="E10" s="60">
        <v>27</v>
      </c>
      <c r="F10" s="60">
        <v>13</v>
      </c>
      <c r="G10" s="60">
        <v>0</v>
      </c>
      <c r="H10" s="60">
        <v>10</v>
      </c>
      <c r="I10" s="60">
        <v>27</v>
      </c>
      <c r="J10" s="60">
        <v>14</v>
      </c>
      <c r="L10" s="37" t="s">
        <v>98</v>
      </c>
    </row>
    <row r="11" spans="1:12">
      <c r="A11" s="126" t="s">
        <v>158</v>
      </c>
      <c r="B11" s="126" t="s">
        <v>226</v>
      </c>
      <c r="C11" s="60">
        <v>0</v>
      </c>
      <c r="D11" s="60">
        <v>13</v>
      </c>
      <c r="E11" s="60">
        <v>51</v>
      </c>
      <c r="F11" s="60">
        <v>21</v>
      </c>
      <c r="G11" s="60">
        <v>0</v>
      </c>
      <c r="H11" s="60">
        <v>13</v>
      </c>
      <c r="I11" s="60">
        <v>51</v>
      </c>
      <c r="J11" s="60">
        <v>22</v>
      </c>
      <c r="L11" s="64" t="s">
        <v>216</v>
      </c>
    </row>
    <row r="12" spans="1:12">
      <c r="L12" s="37" t="s">
        <v>60</v>
      </c>
    </row>
    <row r="13" spans="1:12">
      <c r="L13" s="37" t="s">
        <v>61</v>
      </c>
    </row>
    <row r="14" spans="1:12">
      <c r="L14" s="37" t="s">
        <v>217</v>
      </c>
    </row>
    <row r="15" spans="1:12">
      <c r="L15" s="37" t="s">
        <v>62</v>
      </c>
    </row>
    <row r="16" spans="1:12">
      <c r="L16" s="37" t="s">
        <v>63</v>
      </c>
    </row>
    <row r="17" spans="12:12">
      <c r="L17" s="37" t="s">
        <v>64</v>
      </c>
    </row>
    <row r="18" spans="12:12">
      <c r="L18" s="37" t="s">
        <v>65</v>
      </c>
    </row>
    <row r="19" spans="12:12">
      <c r="L19" s="37" t="s">
        <v>66</v>
      </c>
    </row>
    <row r="20" spans="12:12">
      <c r="L20" s="37" t="s">
        <v>67</v>
      </c>
    </row>
    <row r="21" spans="12:12">
      <c r="L21" s="37" t="s">
        <v>68</v>
      </c>
    </row>
    <row r="22" spans="12:12">
      <c r="L22" s="37" t="s">
        <v>69</v>
      </c>
    </row>
    <row r="23" spans="12:12">
      <c r="L23" s="37" t="s">
        <v>70</v>
      </c>
    </row>
    <row r="24" spans="12:12">
      <c r="L24" s="37" t="s">
        <v>71</v>
      </c>
    </row>
    <row r="25" spans="12:12">
      <c r="L25" s="37" t="s">
        <v>72</v>
      </c>
    </row>
    <row r="26" spans="12:12">
      <c r="L26" s="37" t="s">
        <v>73</v>
      </c>
    </row>
    <row r="27" spans="12:12">
      <c r="L27" s="37" t="s">
        <v>74</v>
      </c>
    </row>
    <row r="28" spans="12:12">
      <c r="L28" s="37" t="s">
        <v>75</v>
      </c>
    </row>
    <row r="29" spans="12:12">
      <c r="L29" s="37" t="s">
        <v>76</v>
      </c>
    </row>
    <row r="30" spans="12:12">
      <c r="L30" s="37" t="s">
        <v>77</v>
      </c>
    </row>
    <row r="31" spans="12:12">
      <c r="L31" s="37" t="s">
        <v>78</v>
      </c>
    </row>
    <row r="32" spans="12:12">
      <c r="L32" s="37" t="s">
        <v>79</v>
      </c>
    </row>
    <row r="33" spans="12:12">
      <c r="L33" s="37" t="s">
        <v>80</v>
      </c>
    </row>
    <row r="34" spans="12:12">
      <c r="L34" s="37" t="s">
        <v>81</v>
      </c>
    </row>
    <row r="35" spans="12:12">
      <c r="L35" s="37" t="s">
        <v>82</v>
      </c>
    </row>
    <row r="36" spans="12:12">
      <c r="L36" s="37" t="s">
        <v>83</v>
      </c>
    </row>
    <row r="37" spans="12:12">
      <c r="L37" s="37" t="s">
        <v>84</v>
      </c>
    </row>
    <row r="38" spans="12:12">
      <c r="L38" s="37" t="s">
        <v>85</v>
      </c>
    </row>
    <row r="39" spans="12:12">
      <c r="L39" s="37" t="s">
        <v>86</v>
      </c>
    </row>
    <row r="40" spans="12:12">
      <c r="L40" s="37" t="s">
        <v>87</v>
      </c>
    </row>
    <row r="41" spans="12:12">
      <c r="L41" s="37" t="s">
        <v>88</v>
      </c>
    </row>
    <row r="42" spans="12:12">
      <c r="L42" s="37" t="s">
        <v>147</v>
      </c>
    </row>
    <row r="43" spans="12:12">
      <c r="L43" s="37" t="s">
        <v>89</v>
      </c>
    </row>
    <row r="44" spans="12:12">
      <c r="L44" s="37" t="s">
        <v>90</v>
      </c>
    </row>
    <row r="45" spans="12:12">
      <c r="L45" s="37" t="s">
        <v>91</v>
      </c>
    </row>
    <row r="46" spans="12:12">
      <c r="L46" s="37" t="s">
        <v>146</v>
      </c>
    </row>
    <row r="47" spans="12:12">
      <c r="L47" s="37" t="s">
        <v>92</v>
      </c>
    </row>
    <row r="48" spans="12:12">
      <c r="L48" s="37" t="s">
        <v>93</v>
      </c>
    </row>
    <row r="49" spans="12:12">
      <c r="L49" s="37" t="s">
        <v>94</v>
      </c>
    </row>
    <row r="50" spans="12:12">
      <c r="L50" s="37" t="s">
        <v>95</v>
      </c>
    </row>
    <row r="51" spans="12:12">
      <c r="L51" s="37" t="s">
        <v>96</v>
      </c>
    </row>
  </sheetData>
  <sheetProtection selectLockedCells="1"/>
  <phoneticPr fontId="15"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C2CE-BF6C-4C2D-A7FF-E3BC23A71B21}">
  <sheetPr codeName="Sheet5"/>
  <dimension ref="B1:F26"/>
  <sheetViews>
    <sheetView workbookViewId="0">
      <selection activeCell="F11" sqref="F11"/>
    </sheetView>
  </sheetViews>
  <sheetFormatPr defaultRowHeight="15"/>
  <cols>
    <col min="1" max="1" width="3" customWidth="1"/>
    <col min="2" max="2" width="9.140625" style="10"/>
    <col min="3" max="3" width="61.140625" customWidth="1"/>
    <col min="4" max="4" width="11.140625" bestFit="1" customWidth="1"/>
    <col min="5" max="5" width="10.42578125" style="1" bestFit="1" customWidth="1"/>
    <col min="6" max="6" width="61" customWidth="1"/>
  </cols>
  <sheetData>
    <row r="1" spans="2:6" ht="21">
      <c r="B1" s="95">
        <f>MAX(B4:B26)</f>
        <v>1.03</v>
      </c>
      <c r="C1" s="12" t="s">
        <v>42</v>
      </c>
      <c r="D1" s="11"/>
      <c r="E1" s="25"/>
      <c r="F1" s="26" t="s">
        <v>44</v>
      </c>
    </row>
    <row r="2" spans="2:6" ht="15.75" thickBot="1"/>
    <row r="3" spans="2:6" ht="15.75" thickBot="1">
      <c r="B3" s="13" t="s">
        <v>34</v>
      </c>
      <c r="C3" s="14" t="s">
        <v>35</v>
      </c>
      <c r="D3" s="14" t="s">
        <v>36</v>
      </c>
      <c r="E3" s="15" t="s">
        <v>37</v>
      </c>
      <c r="F3" s="16" t="s">
        <v>40</v>
      </c>
    </row>
    <row r="4" spans="2:6">
      <c r="B4" s="91">
        <v>0</v>
      </c>
      <c r="C4" s="83" t="s">
        <v>39</v>
      </c>
      <c r="D4" s="17" t="s">
        <v>38</v>
      </c>
      <c r="E4" s="96">
        <v>44974</v>
      </c>
      <c r="F4" s="23" t="s">
        <v>41</v>
      </c>
    </row>
    <row r="5" spans="2:6" ht="45">
      <c r="B5" s="92">
        <v>0.1</v>
      </c>
      <c r="C5" s="80" t="s">
        <v>104</v>
      </c>
      <c r="D5" s="21" t="s">
        <v>38</v>
      </c>
      <c r="E5" s="24">
        <v>44976</v>
      </c>
      <c r="F5" s="27" t="s">
        <v>45</v>
      </c>
    </row>
    <row r="6" spans="2:6" ht="30">
      <c r="B6" s="92">
        <v>0.2</v>
      </c>
      <c r="C6" s="81" t="s">
        <v>101</v>
      </c>
      <c r="D6" s="21" t="s">
        <v>38</v>
      </c>
      <c r="E6" s="24">
        <v>44979</v>
      </c>
      <c r="F6" s="22" t="s">
        <v>100</v>
      </c>
    </row>
    <row r="7" spans="2:6" ht="60">
      <c r="B7" s="93">
        <v>1</v>
      </c>
      <c r="C7" s="82" t="s">
        <v>134</v>
      </c>
      <c r="D7" s="78" t="s">
        <v>38</v>
      </c>
      <c r="E7" s="24">
        <v>44980</v>
      </c>
      <c r="F7" s="27" t="s">
        <v>135</v>
      </c>
    </row>
    <row r="8" spans="2:6" ht="45">
      <c r="B8" s="92">
        <v>1.01</v>
      </c>
      <c r="C8" s="79" t="s">
        <v>148</v>
      </c>
      <c r="D8" s="21" t="s">
        <v>38</v>
      </c>
      <c r="E8" s="24">
        <v>44985</v>
      </c>
      <c r="F8" s="27" t="s">
        <v>149</v>
      </c>
    </row>
    <row r="9" spans="2:6" ht="45">
      <c r="B9" s="92">
        <v>1.02</v>
      </c>
      <c r="C9" s="20" t="s">
        <v>150</v>
      </c>
      <c r="D9" s="21" t="s">
        <v>38</v>
      </c>
      <c r="E9" s="24">
        <v>44990</v>
      </c>
      <c r="F9" s="27" t="s">
        <v>151</v>
      </c>
    </row>
    <row r="10" spans="2:6" ht="180">
      <c r="B10" s="92">
        <v>1.03</v>
      </c>
      <c r="C10" s="20" t="s">
        <v>234</v>
      </c>
      <c r="D10" s="21" t="s">
        <v>38</v>
      </c>
      <c r="E10" s="24">
        <v>46001</v>
      </c>
      <c r="F10" s="27" t="s">
        <v>235</v>
      </c>
    </row>
    <row r="11" spans="2:6">
      <c r="B11" s="92"/>
      <c r="C11" s="20"/>
      <c r="D11" s="21"/>
      <c r="E11" s="24"/>
      <c r="F11" s="22"/>
    </row>
    <row r="12" spans="2:6">
      <c r="B12" s="92"/>
      <c r="C12" s="20"/>
      <c r="D12" s="21"/>
      <c r="E12" s="24"/>
      <c r="F12" s="22"/>
    </row>
    <row r="13" spans="2:6">
      <c r="B13" s="92"/>
      <c r="C13" s="20"/>
      <c r="D13" s="21"/>
      <c r="E13" s="24"/>
      <c r="F13" s="22"/>
    </row>
    <row r="14" spans="2:6">
      <c r="B14" s="92"/>
      <c r="C14" s="20"/>
      <c r="D14" s="21"/>
      <c r="E14" s="24"/>
      <c r="F14" s="22"/>
    </row>
    <row r="15" spans="2:6">
      <c r="B15" s="92"/>
      <c r="C15" s="20"/>
      <c r="D15" s="21"/>
      <c r="E15" s="24"/>
      <c r="F15" s="22"/>
    </row>
    <row r="16" spans="2:6">
      <c r="B16" s="92"/>
      <c r="C16" s="20"/>
      <c r="D16" s="21"/>
      <c r="E16" s="24"/>
      <c r="F16" s="22"/>
    </row>
    <row r="17" spans="2:6">
      <c r="B17" s="92"/>
      <c r="C17" s="20"/>
      <c r="D17" s="21"/>
      <c r="E17" s="24"/>
      <c r="F17" s="22"/>
    </row>
    <row r="18" spans="2:6">
      <c r="B18" s="92"/>
      <c r="C18" s="20"/>
      <c r="D18" s="21"/>
      <c r="E18" s="24"/>
      <c r="F18" s="22"/>
    </row>
    <row r="19" spans="2:6">
      <c r="B19" s="92"/>
      <c r="C19" s="20"/>
      <c r="D19" s="21"/>
      <c r="E19" s="24"/>
      <c r="F19" s="22"/>
    </row>
    <row r="20" spans="2:6">
      <c r="B20" s="92"/>
      <c r="C20" s="20"/>
      <c r="D20" s="21"/>
      <c r="E20" s="24"/>
      <c r="F20" s="22"/>
    </row>
    <row r="21" spans="2:6">
      <c r="B21" s="92"/>
      <c r="C21" s="20"/>
      <c r="D21" s="21"/>
      <c r="E21" s="24"/>
      <c r="F21" s="22"/>
    </row>
    <row r="22" spans="2:6">
      <c r="B22" s="92"/>
      <c r="C22" s="20"/>
      <c r="D22" s="21"/>
      <c r="E22" s="24"/>
      <c r="F22" s="22"/>
    </row>
    <row r="23" spans="2:6">
      <c r="B23" s="92"/>
      <c r="C23" s="20"/>
      <c r="D23" s="21"/>
      <c r="E23" s="24"/>
      <c r="F23" s="22"/>
    </row>
    <row r="24" spans="2:6">
      <c r="B24" s="92"/>
      <c r="C24" s="20"/>
      <c r="D24" s="21"/>
      <c r="E24" s="24"/>
      <c r="F24" s="22"/>
    </row>
    <row r="25" spans="2:6">
      <c r="B25" s="92"/>
      <c r="C25" s="20"/>
      <c r="D25" s="21"/>
      <c r="E25" s="24"/>
      <c r="F25" s="22"/>
    </row>
    <row r="26" spans="2:6" ht="15.75" thickBot="1">
      <c r="B26" s="94"/>
      <c r="C26" s="18"/>
      <c r="D26" s="18"/>
      <c r="E26" s="97"/>
      <c r="F26" s="19"/>
    </row>
  </sheetData>
  <hyperlinks>
    <hyperlink ref="F1" location="Instructions!A1" display="Click Here to Return to Instructions" xr:uid="{D8F39995-BE05-4CCD-9C06-74B16A661E4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5F85-8EB2-42DA-B9F7-3E2BE7254BC7}">
  <sheetPr codeName="Sheet4">
    <tabColor theme="0" tint="-0.14999847407452621"/>
  </sheetPr>
  <dimension ref="B5:Q12"/>
  <sheetViews>
    <sheetView workbookViewId="0">
      <selection activeCell="H34" sqref="H34"/>
    </sheetView>
  </sheetViews>
  <sheetFormatPr defaultRowHeight="15"/>
  <cols>
    <col min="1" max="1" width="12.5703125" customWidth="1"/>
    <col min="16" max="16" width="13.85546875" bestFit="1" customWidth="1"/>
    <col min="19" max="19" width="14.140625" customWidth="1"/>
  </cols>
  <sheetData>
    <row r="5" spans="2:17" ht="15.75" thickBot="1"/>
    <row r="6" spans="2:17" ht="19.5" thickBot="1">
      <c r="C6" s="122" t="s">
        <v>32</v>
      </c>
      <c r="D6" s="123"/>
      <c r="E6" s="123"/>
      <c r="F6" s="123"/>
      <c r="G6" s="123"/>
      <c r="H6" s="123"/>
      <c r="I6" s="123"/>
      <c r="J6" s="123"/>
      <c r="K6" s="123"/>
      <c r="L6" s="123"/>
      <c r="M6" s="123"/>
      <c r="N6" s="123"/>
      <c r="O6" s="123"/>
      <c r="P6" s="123"/>
      <c r="Q6" s="124"/>
    </row>
    <row r="11" spans="2:17" ht="15.75" thickBot="1"/>
    <row r="12" spans="2:17" ht="19.5" thickBot="1">
      <c r="B12" s="125" t="s">
        <v>31</v>
      </c>
      <c r="C12" s="106"/>
      <c r="D12" s="106"/>
      <c r="E12" s="106"/>
      <c r="F12" s="106"/>
      <c r="G12" s="106"/>
      <c r="H12" s="106"/>
      <c r="I12" s="106"/>
      <c r="J12" s="106"/>
      <c r="K12" s="106"/>
      <c r="L12" s="106"/>
      <c r="M12" s="106"/>
      <c r="N12" s="106"/>
      <c r="O12" s="106"/>
      <c r="P12" s="107"/>
    </row>
  </sheetData>
  <mergeCells count="2">
    <mergeCell ref="C6:Q6"/>
    <mergeCell ref="B12:P12"/>
  </mergeCells>
  <pageMargins left="0.7" right="0.7" top="0.75" bottom="0.75" header="0.3" footer="0.3"/>
  <pageSetup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3BBD7D-E651-41D8-AED5-B0D8A43483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63</vt:i4>
      </vt:variant>
    </vt:vector>
  </HeadingPairs>
  <TitlesOfParts>
    <vt:vector size="71" baseType="lpstr">
      <vt:lpstr>Instructions</vt:lpstr>
      <vt:lpstr>Arduino_SIG_Zoom_2025_12_09</vt:lpstr>
      <vt:lpstr>Arduino_SIG_Zoom_22025_11_25</vt:lpstr>
      <vt:lpstr>SIGSample</vt:lpstr>
      <vt:lpstr>Template</vt:lpstr>
      <vt:lpstr>EDL Processor</vt:lpstr>
      <vt:lpstr>Revision Control</vt:lpstr>
      <vt:lpstr>Screen Shots</vt:lpstr>
      <vt:lpstr>Arduino_SIG_Zoom_2025_12_09!BoxTitle</vt:lpstr>
      <vt:lpstr>Arduino_SIG_Zoom_22025_11_25!BoxTitle</vt:lpstr>
      <vt:lpstr>SIGSample!BoxTitle</vt:lpstr>
      <vt:lpstr>BoxTitle</vt:lpstr>
      <vt:lpstr>EDLFileName</vt:lpstr>
      <vt:lpstr>Arduino_SIG_Zoom_2025_12_09!EndWrap</vt:lpstr>
      <vt:lpstr>Arduino_SIG_Zoom_22025_11_25!EndWrap</vt:lpstr>
      <vt:lpstr>SIGSample!EndWrap</vt:lpstr>
      <vt:lpstr>EndWrap</vt:lpstr>
      <vt:lpstr>Arduino_SIG_Zoom_2025_12_09!EOL</vt:lpstr>
      <vt:lpstr>Arduino_SIG_Zoom_22025_11_25!EOL</vt:lpstr>
      <vt:lpstr>SIGSample!EOL</vt:lpstr>
      <vt:lpstr>EOL</vt:lpstr>
      <vt:lpstr>Arduino_SIG_Zoom_2025_12_09!LongDescription</vt:lpstr>
      <vt:lpstr>Arduino_SIG_Zoom_22025_11_25!LongDescription</vt:lpstr>
      <vt:lpstr>SIGSample!LongDescription</vt:lpstr>
      <vt:lpstr>LongDescription</vt:lpstr>
      <vt:lpstr>Arduino_SIG_Zoom_2025_12_09!LT1Hr</vt:lpstr>
      <vt:lpstr>Arduino_SIG_Zoom_22025_11_25!LT1Hr</vt:lpstr>
      <vt:lpstr>SIGSample!LT1Hr</vt:lpstr>
      <vt:lpstr>LT1Hr</vt:lpstr>
      <vt:lpstr>NewSource</vt:lpstr>
      <vt:lpstr>Arduino_SIG_Zoom_2025_12_09!OneLineDescription</vt:lpstr>
      <vt:lpstr>Arduino_SIG_Zoom_22025_11_25!OneLineDescription</vt:lpstr>
      <vt:lpstr>SIGSample!OneLineDescription</vt:lpstr>
      <vt:lpstr>OneLineDescription</vt:lpstr>
      <vt:lpstr>'EDL Processor'!Timeline_1_1</vt:lpstr>
      <vt:lpstr>Arduino_SIG_Zoom_2025_12_09!TL_Line1</vt:lpstr>
      <vt:lpstr>Arduino_SIG_Zoom_22025_11_25!TL_Line1</vt:lpstr>
      <vt:lpstr>SIGSample!TL_Line1</vt:lpstr>
      <vt:lpstr>TL_Line1</vt:lpstr>
      <vt:lpstr>Arduino_SIG_Zoom_2025_12_09!txtDateTime</vt:lpstr>
      <vt:lpstr>Arduino_SIG_Zoom_22025_11_25!txtDateTime</vt:lpstr>
      <vt:lpstr>SIGSample!txtDateTime</vt:lpstr>
      <vt:lpstr>txtDateTime</vt:lpstr>
      <vt:lpstr>Arduino_SIG_Zoom_2025_12_09!VideoTitle</vt:lpstr>
      <vt:lpstr>Arduino_SIG_Zoom_22025_11_25!VideoTitle</vt:lpstr>
      <vt:lpstr>SIGSample!VideoTitle</vt:lpstr>
      <vt:lpstr>VideoTitle</vt:lpstr>
      <vt:lpstr>Arduino_SIG_Zoom_2025_12_09!WRAPbox</vt:lpstr>
      <vt:lpstr>Arduino_SIG_Zoom_22025_11_25!WRAPbox</vt:lpstr>
      <vt:lpstr>SIGSample!WRAPbox</vt:lpstr>
      <vt:lpstr>WRAPbox</vt:lpstr>
      <vt:lpstr>Arduino_SIG_Zoom_2025_12_09!WRAPcolumn</vt:lpstr>
      <vt:lpstr>Arduino_SIG_Zoom_22025_11_25!WRAPcolumn</vt:lpstr>
      <vt:lpstr>SIGSample!WRAPcolumn</vt:lpstr>
      <vt:lpstr>WRAPcolumn</vt:lpstr>
      <vt:lpstr>Arduino_SIG_Zoom_2025_12_09!WRAPcolumnhalf</vt:lpstr>
      <vt:lpstr>Arduino_SIG_Zoom_22025_11_25!WRAPcolumnhalf</vt:lpstr>
      <vt:lpstr>SIGSample!WRAPcolumnhalf</vt:lpstr>
      <vt:lpstr>WRAPcolumnhalf</vt:lpstr>
      <vt:lpstr>Arduino_SIG_Zoom_2025_12_09!YT_minutes</vt:lpstr>
      <vt:lpstr>Arduino_SIG_Zoom_22025_11_25!YT_minutes</vt:lpstr>
      <vt:lpstr>SIGSample!YT_minutes</vt:lpstr>
      <vt:lpstr>YT_minutes</vt:lpstr>
      <vt:lpstr>Arduino_SIG_Zoom_2025_12_09!YT_Show_More</vt:lpstr>
      <vt:lpstr>Arduino_SIG_Zoom_22025_11_25!YT_Show_More</vt:lpstr>
      <vt:lpstr>SIGSample!YT_Show_More</vt:lpstr>
      <vt:lpstr>YT_Show_More</vt:lpstr>
      <vt:lpstr>Arduino_SIG_Zoom_2025_12_09!YT_URL</vt:lpstr>
      <vt:lpstr>Arduino_SIG_Zoom_22025_11_25!YT_URL</vt:lpstr>
      <vt:lpstr>SIGSample!YT_URL</vt:lpstr>
      <vt:lpstr>YT_URL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Lomax</dc:creator>
  <cp:lastModifiedBy>Alan Lomax</cp:lastModifiedBy>
  <dcterms:created xsi:type="dcterms:W3CDTF">2015-06-05T18:17:20Z</dcterms:created>
  <dcterms:modified xsi:type="dcterms:W3CDTF">2025-12-10T20:56:12Z</dcterms:modified>
</cp:coreProperties>
</file>